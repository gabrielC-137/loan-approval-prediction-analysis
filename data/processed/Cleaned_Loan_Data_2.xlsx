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d.docs.live.net/fd32419fec37293a/Escritorio/MASTER/Python_codes/Assigment_Part_1/"/>
    </mc:Choice>
  </mc:AlternateContent>
  <xr:revisionPtr revIDLastSave="2" documentId="14_{F3362AE1-FF60-444E-8648-0E2F85B52F2B}" xr6:coauthVersionLast="47" xr6:coauthVersionMax="47" xr10:uidLastSave="{EB6D78A0-49F3-4876-B41E-61BA1DA3E16B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Sheet1!$A$1:$Y$615</definedName>
  </definedNames>
  <calcPr calcId="191029"/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2" i="1"/>
</calcChain>
</file>

<file path=xl/sharedStrings.xml><?xml version="1.0" encoding="utf-8"?>
<sst xmlns="http://schemas.openxmlformats.org/spreadsheetml/2006/main" count="4937" uniqueCount="653">
  <si>
    <t>Loan_ID</t>
  </si>
  <si>
    <t>Gender</t>
  </si>
  <si>
    <t>Married</t>
  </si>
  <si>
    <t>Dependents</t>
  </si>
  <si>
    <t>Education</t>
  </si>
  <si>
    <t>Self_Employed</t>
  </si>
  <si>
    <t>ApplicantIncome</t>
  </si>
  <si>
    <t>CoapplicantIncome</t>
  </si>
  <si>
    <t>LoanAmount</t>
  </si>
  <si>
    <t>Loan_Amount_Term</t>
  </si>
  <si>
    <t>Credit_History</t>
  </si>
  <si>
    <t>Property_Area</t>
  </si>
  <si>
    <t>Loan_Status</t>
  </si>
  <si>
    <t>ApplicantIncome_log</t>
  </si>
  <si>
    <t>CoapplicantIncome_log</t>
  </si>
  <si>
    <t>LoanAmount_log</t>
  </si>
  <si>
    <t>Loan_Term_Category</t>
  </si>
  <si>
    <t>LP001002</t>
  </si>
  <si>
    <t>Male</t>
  </si>
  <si>
    <t>No</t>
  </si>
  <si>
    <t>Graduate</t>
  </si>
  <si>
    <t>Urban</t>
  </si>
  <si>
    <t>Y</t>
  </si>
  <si>
    <t>Long Term</t>
  </si>
  <si>
    <t>LP001003</t>
  </si>
  <si>
    <t>Yes</t>
  </si>
  <si>
    <t>Rural</t>
  </si>
  <si>
    <t>N</t>
  </si>
  <si>
    <t>LP001005</t>
  </si>
  <si>
    <t>LP001006</t>
  </si>
  <si>
    <t>Not Graduate</t>
  </si>
  <si>
    <t>LP001008</t>
  </si>
  <si>
    <t>LP001011</t>
  </si>
  <si>
    <t>LP001013</t>
  </si>
  <si>
    <t>LP001014</t>
  </si>
  <si>
    <t>Semiurban</t>
  </si>
  <si>
    <t>LP001018</t>
  </si>
  <si>
    <t>LP001020</t>
  </si>
  <si>
    <t>LP001024</t>
  </si>
  <si>
    <t>LP001027</t>
  </si>
  <si>
    <t>LP001028</t>
  </si>
  <si>
    <t>LP001029</t>
  </si>
  <si>
    <t>LP001030</t>
  </si>
  <si>
    <t>Short Term</t>
  </si>
  <si>
    <t>LP001032</t>
  </si>
  <si>
    <t>LP001034</t>
  </si>
  <si>
    <t>Mid Term</t>
  </si>
  <si>
    <t>LP001036</t>
  </si>
  <si>
    <t>Female</t>
  </si>
  <si>
    <t>LP001038</t>
  </si>
  <si>
    <t>LP001041</t>
  </si>
  <si>
    <t>LP001043</t>
  </si>
  <si>
    <t>LP001046</t>
  </si>
  <si>
    <t>LP001047</t>
  </si>
  <si>
    <t>LP001050</t>
  </si>
  <si>
    <t>LP001052</t>
  </si>
  <si>
    <t>LP001066</t>
  </si>
  <si>
    <t>LP001068</t>
  </si>
  <si>
    <t>LP001073</t>
  </si>
  <si>
    <t>LP001086</t>
  </si>
  <si>
    <t>LP001087</t>
  </si>
  <si>
    <t>LP001091</t>
  </si>
  <si>
    <t>LP001095</t>
  </si>
  <si>
    <t>LP001097</t>
  </si>
  <si>
    <t>LP001098</t>
  </si>
  <si>
    <t>LP001100</t>
  </si>
  <si>
    <t>LP001106</t>
  </si>
  <si>
    <t>LP001109</t>
  </si>
  <si>
    <t>LP001112</t>
  </si>
  <si>
    <t>LP001114</t>
  </si>
  <si>
    <t>LP001116</t>
  </si>
  <si>
    <t>LP001119</t>
  </si>
  <si>
    <t>LP001120</t>
  </si>
  <si>
    <t>LP001123</t>
  </si>
  <si>
    <t>LP001131</t>
  </si>
  <si>
    <t>LP001136</t>
  </si>
  <si>
    <t>LP001137</t>
  </si>
  <si>
    <t>LP001138</t>
  </si>
  <si>
    <t>LP001144</t>
  </si>
  <si>
    <t>LP001146</t>
  </si>
  <si>
    <t>LP001151</t>
  </si>
  <si>
    <t>LP001155</t>
  </si>
  <si>
    <t>LP001157</t>
  </si>
  <si>
    <t>LP001164</t>
  </si>
  <si>
    <t>LP001179</t>
  </si>
  <si>
    <t>LP001186</t>
  </si>
  <si>
    <t>LP001194</t>
  </si>
  <si>
    <t>LP001195</t>
  </si>
  <si>
    <t>LP001197</t>
  </si>
  <si>
    <t>LP001198</t>
  </si>
  <si>
    <t>LP001199</t>
  </si>
  <si>
    <t>LP001205</t>
  </si>
  <si>
    <t>LP001206</t>
  </si>
  <si>
    <t>LP001207</t>
  </si>
  <si>
    <t>LP001213</t>
  </si>
  <si>
    <t>LP001222</t>
  </si>
  <si>
    <t>LP001225</t>
  </si>
  <si>
    <t>LP001228</t>
  </si>
  <si>
    <t>LP001233</t>
  </si>
  <si>
    <t>LP001238</t>
  </si>
  <si>
    <t>LP001241</t>
  </si>
  <si>
    <t>LP001243</t>
  </si>
  <si>
    <t>LP001245</t>
  </si>
  <si>
    <t>LP001248</t>
  </si>
  <si>
    <t>LP001250</t>
  </si>
  <si>
    <t>LP001253</t>
  </si>
  <si>
    <t>LP001255</t>
  </si>
  <si>
    <t>LP001256</t>
  </si>
  <si>
    <t>LP001259</t>
  </si>
  <si>
    <t>LP001263</t>
  </si>
  <si>
    <t>LP001264</t>
  </si>
  <si>
    <t>LP001265</t>
  </si>
  <si>
    <t>LP001266</t>
  </si>
  <si>
    <t>LP001267</t>
  </si>
  <si>
    <t>LP001273</t>
  </si>
  <si>
    <t>LP001275</t>
  </si>
  <si>
    <t>LP001279</t>
  </si>
  <si>
    <t>LP001280</t>
  </si>
  <si>
    <t>LP001282</t>
  </si>
  <si>
    <t>LP001289</t>
  </si>
  <si>
    <t>LP001310</t>
  </si>
  <si>
    <t>LP001316</t>
  </si>
  <si>
    <t>LP001318</t>
  </si>
  <si>
    <t>LP001319</t>
  </si>
  <si>
    <t>LP001322</t>
  </si>
  <si>
    <t>LP001325</t>
  </si>
  <si>
    <t>LP001326</t>
  </si>
  <si>
    <t>LP001327</t>
  </si>
  <si>
    <t>LP001333</t>
  </si>
  <si>
    <t>LP001334</t>
  </si>
  <si>
    <t>LP001343</t>
  </si>
  <si>
    <t>LP001345</t>
  </si>
  <si>
    <t>LP001349</t>
  </si>
  <si>
    <t>LP001350</t>
  </si>
  <si>
    <t>LP001356</t>
  </si>
  <si>
    <t>LP001357</t>
  </si>
  <si>
    <t>LP001367</t>
  </si>
  <si>
    <t>LP001369</t>
  </si>
  <si>
    <t>LP001370</t>
  </si>
  <si>
    <t>LP001379</t>
  </si>
  <si>
    <t>LP001384</t>
  </si>
  <si>
    <t>LP001385</t>
  </si>
  <si>
    <t>LP001387</t>
  </si>
  <si>
    <t>LP001391</t>
  </si>
  <si>
    <t>LP001392</t>
  </si>
  <si>
    <t>LP001398</t>
  </si>
  <si>
    <t>LP001401</t>
  </si>
  <si>
    <t>LP001404</t>
  </si>
  <si>
    <t>LP001405</t>
  </si>
  <si>
    <t>LP001421</t>
  </si>
  <si>
    <t>LP001422</t>
  </si>
  <si>
    <t>LP001426</t>
  </si>
  <si>
    <t>LP001430</t>
  </si>
  <si>
    <t>LP001431</t>
  </si>
  <si>
    <t>LP001432</t>
  </si>
  <si>
    <t>LP001439</t>
  </si>
  <si>
    <t>LP001443</t>
  </si>
  <si>
    <t>LP001448</t>
  </si>
  <si>
    <t>LP001449</t>
  </si>
  <si>
    <t>LP001451</t>
  </si>
  <si>
    <t>LP001465</t>
  </si>
  <si>
    <t>LP001469</t>
  </si>
  <si>
    <t>LP001473</t>
  </si>
  <si>
    <t>LP001478</t>
  </si>
  <si>
    <t>LP001482</t>
  </si>
  <si>
    <t>LP001487</t>
  </si>
  <si>
    <t>LP001488</t>
  </si>
  <si>
    <t>LP001489</t>
  </si>
  <si>
    <t>LP001491</t>
  </si>
  <si>
    <t>LP001492</t>
  </si>
  <si>
    <t>LP001493</t>
  </si>
  <si>
    <t>LP001497</t>
  </si>
  <si>
    <t>LP001498</t>
  </si>
  <si>
    <t>LP001504</t>
  </si>
  <si>
    <t>LP001507</t>
  </si>
  <si>
    <t>LP001508</t>
  </si>
  <si>
    <t>LP001514</t>
  </si>
  <si>
    <t>LP001516</t>
  </si>
  <si>
    <t>LP001518</t>
  </si>
  <si>
    <t>LP001519</t>
  </si>
  <si>
    <t>LP001520</t>
  </si>
  <si>
    <t>LP001528</t>
  </si>
  <si>
    <t>LP001529</t>
  </si>
  <si>
    <t>LP001531</t>
  </si>
  <si>
    <t>LP001532</t>
  </si>
  <si>
    <t>LP001535</t>
  </si>
  <si>
    <t>LP001536</t>
  </si>
  <si>
    <t>LP001541</t>
  </si>
  <si>
    <t>LP001543</t>
  </si>
  <si>
    <t>LP001546</t>
  </si>
  <si>
    <t>LP001552</t>
  </si>
  <si>
    <t>LP001560</t>
  </si>
  <si>
    <t>LP001562</t>
  </si>
  <si>
    <t>LP001565</t>
  </si>
  <si>
    <t>LP001570</t>
  </si>
  <si>
    <t>LP001572</t>
  </si>
  <si>
    <t>LP001574</t>
  </si>
  <si>
    <t>LP001577</t>
  </si>
  <si>
    <t>LP001578</t>
  </si>
  <si>
    <t>LP001579</t>
  </si>
  <si>
    <t>LP001580</t>
  </si>
  <si>
    <t>LP001581</t>
  </si>
  <si>
    <t>LP001585</t>
  </si>
  <si>
    <t>LP001586</t>
  </si>
  <si>
    <t>LP001594</t>
  </si>
  <si>
    <t>LP001603</t>
  </si>
  <si>
    <t>LP001606</t>
  </si>
  <si>
    <t>LP001608</t>
  </si>
  <si>
    <t>LP001610</t>
  </si>
  <si>
    <t>LP001616</t>
  </si>
  <si>
    <t>LP001630</t>
  </si>
  <si>
    <t>LP001633</t>
  </si>
  <si>
    <t>LP001634</t>
  </si>
  <si>
    <t>LP001636</t>
  </si>
  <si>
    <t>LP001637</t>
  </si>
  <si>
    <t>LP001639</t>
  </si>
  <si>
    <t>LP001640</t>
  </si>
  <si>
    <t>LP001641</t>
  </si>
  <si>
    <t>LP001643</t>
  </si>
  <si>
    <t>LP001644</t>
  </si>
  <si>
    <t>LP001647</t>
  </si>
  <si>
    <t>LP001653</t>
  </si>
  <si>
    <t>LP001656</t>
  </si>
  <si>
    <t>LP001657</t>
  </si>
  <si>
    <t>LP001658</t>
  </si>
  <si>
    <t>LP001664</t>
  </si>
  <si>
    <t>LP001665</t>
  </si>
  <si>
    <t>LP001666</t>
  </si>
  <si>
    <t>LP001669</t>
  </si>
  <si>
    <t>LP001671</t>
  </si>
  <si>
    <t>LP001673</t>
  </si>
  <si>
    <t>LP001674</t>
  </si>
  <si>
    <t>LP001677</t>
  </si>
  <si>
    <t>LP001682</t>
  </si>
  <si>
    <t>LP001688</t>
  </si>
  <si>
    <t>LP001691</t>
  </si>
  <si>
    <t>LP001692</t>
  </si>
  <si>
    <t>LP001693</t>
  </si>
  <si>
    <t>LP001698</t>
  </si>
  <si>
    <t>LP001699</t>
  </si>
  <si>
    <t>LP001702</t>
  </si>
  <si>
    <t>LP001708</t>
  </si>
  <si>
    <t>LP001711</t>
  </si>
  <si>
    <t>LP001713</t>
  </si>
  <si>
    <t>LP001715</t>
  </si>
  <si>
    <t>LP001716</t>
  </si>
  <si>
    <t>LP001720</t>
  </si>
  <si>
    <t>LP001722</t>
  </si>
  <si>
    <t>LP001726</t>
  </si>
  <si>
    <t>LP001732</t>
  </si>
  <si>
    <t>LP001734</t>
  </si>
  <si>
    <t>LP001736</t>
  </si>
  <si>
    <t>LP001743</t>
  </si>
  <si>
    <t>LP001744</t>
  </si>
  <si>
    <t>LP001749</t>
  </si>
  <si>
    <t>LP001750</t>
  </si>
  <si>
    <t>LP001751</t>
  </si>
  <si>
    <t>LP001754</t>
  </si>
  <si>
    <t>LP001758</t>
  </si>
  <si>
    <t>LP001760</t>
  </si>
  <si>
    <t>LP001761</t>
  </si>
  <si>
    <t>LP001765</t>
  </si>
  <si>
    <t>LP001768</t>
  </si>
  <si>
    <t>LP001770</t>
  </si>
  <si>
    <t>LP001776</t>
  </si>
  <si>
    <t>LP001778</t>
  </si>
  <si>
    <t>LP001784</t>
  </si>
  <si>
    <t>LP001786</t>
  </si>
  <si>
    <t>LP001788</t>
  </si>
  <si>
    <t>LP001790</t>
  </si>
  <si>
    <t>LP001792</t>
  </si>
  <si>
    <t>LP001798</t>
  </si>
  <si>
    <t>LP001800</t>
  </si>
  <si>
    <t>LP001806</t>
  </si>
  <si>
    <t>LP001807</t>
  </si>
  <si>
    <t>LP001811</t>
  </si>
  <si>
    <t>LP001813</t>
  </si>
  <si>
    <t>LP001814</t>
  </si>
  <si>
    <t>LP001819</t>
  </si>
  <si>
    <t>LP001824</t>
  </si>
  <si>
    <t>LP001825</t>
  </si>
  <si>
    <t>LP001835</t>
  </si>
  <si>
    <t>LP001836</t>
  </si>
  <si>
    <t>LP001841</t>
  </si>
  <si>
    <t>LP001843</t>
  </si>
  <si>
    <t>LP001844</t>
  </si>
  <si>
    <t>LP001846</t>
  </si>
  <si>
    <t>LP001849</t>
  </si>
  <si>
    <t>LP001854</t>
  </si>
  <si>
    <t>LP001859</t>
  </si>
  <si>
    <t>LP001864</t>
  </si>
  <si>
    <t>LP001865</t>
  </si>
  <si>
    <t>LP001868</t>
  </si>
  <si>
    <t>LP001870</t>
  </si>
  <si>
    <t>LP001871</t>
  </si>
  <si>
    <t>LP001872</t>
  </si>
  <si>
    <t>LP001875</t>
  </si>
  <si>
    <t>LP001877</t>
  </si>
  <si>
    <t>LP001882</t>
  </si>
  <si>
    <t>LP001883</t>
  </si>
  <si>
    <t>LP001884</t>
  </si>
  <si>
    <t>LP001888</t>
  </si>
  <si>
    <t>LP001891</t>
  </si>
  <si>
    <t>LP001892</t>
  </si>
  <si>
    <t>LP001894</t>
  </si>
  <si>
    <t>LP001896</t>
  </si>
  <si>
    <t>LP001900</t>
  </si>
  <si>
    <t>LP001903</t>
  </si>
  <si>
    <t>LP001904</t>
  </si>
  <si>
    <t>LP001907</t>
  </si>
  <si>
    <t>LP001908</t>
  </si>
  <si>
    <t>LP001910</t>
  </si>
  <si>
    <t>LP001914</t>
  </si>
  <si>
    <t>LP001915</t>
  </si>
  <si>
    <t>LP001917</t>
  </si>
  <si>
    <t>LP001922</t>
  </si>
  <si>
    <t>LP001924</t>
  </si>
  <si>
    <t>LP001925</t>
  </si>
  <si>
    <t>LP001926</t>
  </si>
  <si>
    <t>LP001931</t>
  </si>
  <si>
    <t>LP001935</t>
  </si>
  <si>
    <t>LP001936</t>
  </si>
  <si>
    <t>LP001938</t>
  </si>
  <si>
    <t>LP001940</t>
  </si>
  <si>
    <t>LP001945</t>
  </si>
  <si>
    <t>LP001947</t>
  </si>
  <si>
    <t>LP001949</t>
  </si>
  <si>
    <t>LP001953</t>
  </si>
  <si>
    <t>LP001954</t>
  </si>
  <si>
    <t>LP001955</t>
  </si>
  <si>
    <t>LP001963</t>
  </si>
  <si>
    <t>LP001964</t>
  </si>
  <si>
    <t>LP001972</t>
  </si>
  <si>
    <t>LP001974</t>
  </si>
  <si>
    <t>LP001977</t>
  </si>
  <si>
    <t>LP001978</t>
  </si>
  <si>
    <t>LP001990</t>
  </si>
  <si>
    <t>LP001993</t>
  </si>
  <si>
    <t>LP001994</t>
  </si>
  <si>
    <t>LP001996</t>
  </si>
  <si>
    <t>LP001998</t>
  </si>
  <si>
    <t>LP002002</t>
  </si>
  <si>
    <t>LP002004</t>
  </si>
  <si>
    <t>LP002006</t>
  </si>
  <si>
    <t>LP002008</t>
  </si>
  <si>
    <t>LP002024</t>
  </si>
  <si>
    <t>LP002031</t>
  </si>
  <si>
    <t>LP002035</t>
  </si>
  <si>
    <t>LP002036</t>
  </si>
  <si>
    <t>LP002043</t>
  </si>
  <si>
    <t>LP002050</t>
  </si>
  <si>
    <t>LP002051</t>
  </si>
  <si>
    <t>LP002053</t>
  </si>
  <si>
    <t>LP002054</t>
  </si>
  <si>
    <t>LP002055</t>
  </si>
  <si>
    <t>LP002065</t>
  </si>
  <si>
    <t>LP002067</t>
  </si>
  <si>
    <t>LP002068</t>
  </si>
  <si>
    <t>LP002082</t>
  </si>
  <si>
    <t>LP002086</t>
  </si>
  <si>
    <t>LP002087</t>
  </si>
  <si>
    <t>LP002097</t>
  </si>
  <si>
    <t>LP002098</t>
  </si>
  <si>
    <t>LP002100</t>
  </si>
  <si>
    <t>LP002101</t>
  </si>
  <si>
    <t>LP002103</t>
  </si>
  <si>
    <t>LP002106</t>
  </si>
  <si>
    <t>LP002110</t>
  </si>
  <si>
    <t>LP002112</t>
  </si>
  <si>
    <t>LP002113</t>
  </si>
  <si>
    <t>LP002114</t>
  </si>
  <si>
    <t>LP002115</t>
  </si>
  <si>
    <t>LP002116</t>
  </si>
  <si>
    <t>LP002119</t>
  </si>
  <si>
    <t>LP002126</t>
  </si>
  <si>
    <t>LP002128</t>
  </si>
  <si>
    <t>LP002129</t>
  </si>
  <si>
    <t>LP002130</t>
  </si>
  <si>
    <t>LP002131</t>
  </si>
  <si>
    <t>LP002137</t>
  </si>
  <si>
    <t>LP002138</t>
  </si>
  <si>
    <t>LP002139</t>
  </si>
  <si>
    <t>LP002140</t>
  </si>
  <si>
    <t>LP002141</t>
  </si>
  <si>
    <t>LP002142</t>
  </si>
  <si>
    <t>LP002143</t>
  </si>
  <si>
    <t>LP002144</t>
  </si>
  <si>
    <t>LP002149</t>
  </si>
  <si>
    <t>LP002151</t>
  </si>
  <si>
    <t>LP002158</t>
  </si>
  <si>
    <t>LP002160</t>
  </si>
  <si>
    <t>LP002161</t>
  </si>
  <si>
    <t>LP002170</t>
  </si>
  <si>
    <t>LP002175</t>
  </si>
  <si>
    <t>LP002178</t>
  </si>
  <si>
    <t>LP002180</t>
  </si>
  <si>
    <t>LP002181</t>
  </si>
  <si>
    <t>LP002187</t>
  </si>
  <si>
    <t>LP002188</t>
  </si>
  <si>
    <t>LP002190</t>
  </si>
  <si>
    <t>LP002191</t>
  </si>
  <si>
    <t>LP002194</t>
  </si>
  <si>
    <t>LP002197</t>
  </si>
  <si>
    <t>LP002201</t>
  </si>
  <si>
    <t>LP002205</t>
  </si>
  <si>
    <t>LP002209</t>
  </si>
  <si>
    <t>LP002211</t>
  </si>
  <si>
    <t>LP002219</t>
  </si>
  <si>
    <t>LP002223</t>
  </si>
  <si>
    <t>LP002224</t>
  </si>
  <si>
    <t>LP002225</t>
  </si>
  <si>
    <t>LP002226</t>
  </si>
  <si>
    <t>LP002229</t>
  </si>
  <si>
    <t>LP002231</t>
  </si>
  <si>
    <t>LP002234</t>
  </si>
  <si>
    <t>LP002236</t>
  </si>
  <si>
    <t>LP002237</t>
  </si>
  <si>
    <t>LP002239</t>
  </si>
  <si>
    <t>LP002243</t>
  </si>
  <si>
    <t>LP002244</t>
  </si>
  <si>
    <t>LP002250</t>
  </si>
  <si>
    <t>LP002255</t>
  </si>
  <si>
    <t>LP002262</t>
  </si>
  <si>
    <t>LP002263</t>
  </si>
  <si>
    <t>LP002265</t>
  </si>
  <si>
    <t>LP002266</t>
  </si>
  <si>
    <t>LP002272</t>
  </si>
  <si>
    <t>LP002277</t>
  </si>
  <si>
    <t>LP002281</t>
  </si>
  <si>
    <t>LP002284</t>
  </si>
  <si>
    <t>LP002287</t>
  </si>
  <si>
    <t>LP002288</t>
  </si>
  <si>
    <t>LP002296</t>
  </si>
  <si>
    <t>LP002297</t>
  </si>
  <si>
    <t>LP002300</t>
  </si>
  <si>
    <t>LP002301</t>
  </si>
  <si>
    <t>LP002305</t>
  </si>
  <si>
    <t>LP002308</t>
  </si>
  <si>
    <t>LP002314</t>
  </si>
  <si>
    <t>LP002315</t>
  </si>
  <si>
    <t>LP002317</t>
  </si>
  <si>
    <t>LP002318</t>
  </si>
  <si>
    <t>LP002319</t>
  </si>
  <si>
    <t>LP002328</t>
  </si>
  <si>
    <t>LP002332</t>
  </si>
  <si>
    <t>LP002335</t>
  </si>
  <si>
    <t>LP002337</t>
  </si>
  <si>
    <t>LP002341</t>
  </si>
  <si>
    <t>LP002342</t>
  </si>
  <si>
    <t>LP002345</t>
  </si>
  <si>
    <t>LP002347</t>
  </si>
  <si>
    <t>LP002348</t>
  </si>
  <si>
    <t>LP002357</t>
  </si>
  <si>
    <t>LP002361</t>
  </si>
  <si>
    <t>LP002362</t>
  </si>
  <si>
    <t>LP002364</t>
  </si>
  <si>
    <t>LP002366</t>
  </si>
  <si>
    <t>LP002367</t>
  </si>
  <si>
    <t>LP002368</t>
  </si>
  <si>
    <t>LP002369</t>
  </si>
  <si>
    <t>LP002370</t>
  </si>
  <si>
    <t>LP002377</t>
  </si>
  <si>
    <t>LP002379</t>
  </si>
  <si>
    <t>LP002386</t>
  </si>
  <si>
    <t>LP002387</t>
  </si>
  <si>
    <t>LP002390</t>
  </si>
  <si>
    <t>LP002393</t>
  </si>
  <si>
    <t>LP002398</t>
  </si>
  <si>
    <t>LP002401</t>
  </si>
  <si>
    <t>LP002403</t>
  </si>
  <si>
    <t>LP002407</t>
  </si>
  <si>
    <t>LP002408</t>
  </si>
  <si>
    <t>LP002409</t>
  </si>
  <si>
    <t>LP002418</t>
  </si>
  <si>
    <t>LP002422</t>
  </si>
  <si>
    <t>LP002424</t>
  </si>
  <si>
    <t>LP002429</t>
  </si>
  <si>
    <t>LP002434</t>
  </si>
  <si>
    <t>LP002435</t>
  </si>
  <si>
    <t>LP002443</t>
  </si>
  <si>
    <t>LP002444</t>
  </si>
  <si>
    <t>LP002446</t>
  </si>
  <si>
    <t>LP002447</t>
  </si>
  <si>
    <t>LP002448</t>
  </si>
  <si>
    <t>LP002449</t>
  </si>
  <si>
    <t>LP002453</t>
  </si>
  <si>
    <t>LP002455</t>
  </si>
  <si>
    <t>LP002459</t>
  </si>
  <si>
    <t>LP002467</t>
  </si>
  <si>
    <t>LP002472</t>
  </si>
  <si>
    <t>LP002473</t>
  </si>
  <si>
    <t>LP002478</t>
  </si>
  <si>
    <t>LP002484</t>
  </si>
  <si>
    <t>LP002487</t>
  </si>
  <si>
    <t>LP002489</t>
  </si>
  <si>
    <t>LP002493</t>
  </si>
  <si>
    <t>LP002494</t>
  </si>
  <si>
    <t>LP002500</t>
  </si>
  <si>
    <t>LP002501</t>
  </si>
  <si>
    <t>LP002502</t>
  </si>
  <si>
    <t>LP002505</t>
  </si>
  <si>
    <t>LP002515</t>
  </si>
  <si>
    <t>LP002517</t>
  </si>
  <si>
    <t>LP002519</t>
  </si>
  <si>
    <t>LP002522</t>
  </si>
  <si>
    <t>LP002524</t>
  </si>
  <si>
    <t>LP002527</t>
  </si>
  <si>
    <t>LP002529</t>
  </si>
  <si>
    <t>LP002530</t>
  </si>
  <si>
    <t>LP002531</t>
  </si>
  <si>
    <t>LP002533</t>
  </si>
  <si>
    <t>LP002534</t>
  </si>
  <si>
    <t>LP002536</t>
  </si>
  <si>
    <t>LP002537</t>
  </si>
  <si>
    <t>LP002541</t>
  </si>
  <si>
    <t>LP002543</t>
  </si>
  <si>
    <t>LP002544</t>
  </si>
  <si>
    <t>LP002545</t>
  </si>
  <si>
    <t>LP002547</t>
  </si>
  <si>
    <t>LP002555</t>
  </si>
  <si>
    <t>LP002556</t>
  </si>
  <si>
    <t>LP002560</t>
  </si>
  <si>
    <t>LP002562</t>
  </si>
  <si>
    <t>LP002571</t>
  </si>
  <si>
    <t>LP002582</t>
  </si>
  <si>
    <t>LP002585</t>
  </si>
  <si>
    <t>LP002586</t>
  </si>
  <si>
    <t>LP002587</t>
  </si>
  <si>
    <t>LP002588</t>
  </si>
  <si>
    <t>LP002600</t>
  </si>
  <si>
    <t>LP002602</t>
  </si>
  <si>
    <t>LP002603</t>
  </si>
  <si>
    <t>LP002606</t>
  </si>
  <si>
    <t>LP002615</t>
  </si>
  <si>
    <t>LP002618</t>
  </si>
  <si>
    <t>LP002619</t>
  </si>
  <si>
    <t>LP002622</t>
  </si>
  <si>
    <t>LP002624</t>
  </si>
  <si>
    <t>LP002625</t>
  </si>
  <si>
    <t>LP002626</t>
  </si>
  <si>
    <t>LP002634</t>
  </si>
  <si>
    <t>LP002637</t>
  </si>
  <si>
    <t>LP002640</t>
  </si>
  <si>
    <t>LP002643</t>
  </si>
  <si>
    <t>LP002648</t>
  </si>
  <si>
    <t>LP002652</t>
  </si>
  <si>
    <t>LP002659</t>
  </si>
  <si>
    <t>LP002670</t>
  </si>
  <si>
    <t>LP002682</t>
  </si>
  <si>
    <t>LP002683</t>
  </si>
  <si>
    <t>LP002684</t>
  </si>
  <si>
    <t>LP002689</t>
  </si>
  <si>
    <t>LP002690</t>
  </si>
  <si>
    <t>LP002692</t>
  </si>
  <si>
    <t>LP002693</t>
  </si>
  <si>
    <t>LP002697</t>
  </si>
  <si>
    <t>LP002699</t>
  </si>
  <si>
    <t>LP002705</t>
  </si>
  <si>
    <t>LP002706</t>
  </si>
  <si>
    <t>LP002714</t>
  </si>
  <si>
    <t>LP002716</t>
  </si>
  <si>
    <t>LP002717</t>
  </si>
  <si>
    <t>LP002720</t>
  </si>
  <si>
    <t>LP002723</t>
  </si>
  <si>
    <t>LP002729</t>
  </si>
  <si>
    <t>LP002731</t>
  </si>
  <si>
    <t>LP002732</t>
  </si>
  <si>
    <t>LP002734</t>
  </si>
  <si>
    <t>LP002738</t>
  </si>
  <si>
    <t>LP002739</t>
  </si>
  <si>
    <t>LP002740</t>
  </si>
  <si>
    <t>LP002741</t>
  </si>
  <si>
    <t>LP002743</t>
  </si>
  <si>
    <t>LP002753</t>
  </si>
  <si>
    <t>LP002755</t>
  </si>
  <si>
    <t>LP002757</t>
  </si>
  <si>
    <t>LP002767</t>
  </si>
  <si>
    <t>LP002768</t>
  </si>
  <si>
    <t>LP002772</t>
  </si>
  <si>
    <t>LP002776</t>
  </si>
  <si>
    <t>LP002777</t>
  </si>
  <si>
    <t>LP002778</t>
  </si>
  <si>
    <t>LP002784</t>
  </si>
  <si>
    <t>LP002785</t>
  </si>
  <si>
    <t>LP002788</t>
  </si>
  <si>
    <t>LP002789</t>
  </si>
  <si>
    <t>LP002792</t>
  </si>
  <si>
    <t>LP002794</t>
  </si>
  <si>
    <t>LP002795</t>
  </si>
  <si>
    <t>LP002798</t>
  </si>
  <si>
    <t>LP002804</t>
  </si>
  <si>
    <t>LP002807</t>
  </si>
  <si>
    <t>LP002813</t>
  </si>
  <si>
    <t>LP002820</t>
  </si>
  <si>
    <t>LP002821</t>
  </si>
  <si>
    <t>LP002832</t>
  </si>
  <si>
    <t>LP002833</t>
  </si>
  <si>
    <t>LP002836</t>
  </si>
  <si>
    <t>LP002837</t>
  </si>
  <si>
    <t>LP002840</t>
  </si>
  <si>
    <t>LP002841</t>
  </si>
  <si>
    <t>LP002842</t>
  </si>
  <si>
    <t>LP002847</t>
  </si>
  <si>
    <t>LP002855</t>
  </si>
  <si>
    <t>LP002862</t>
  </si>
  <si>
    <t>LP002863</t>
  </si>
  <si>
    <t>LP002868</t>
  </si>
  <si>
    <t>LP002872</t>
  </si>
  <si>
    <t>LP002874</t>
  </si>
  <si>
    <t>LP002877</t>
  </si>
  <si>
    <t>LP002888</t>
  </si>
  <si>
    <t>LP002892</t>
  </si>
  <si>
    <t>LP002893</t>
  </si>
  <si>
    <t>LP002894</t>
  </si>
  <si>
    <t>LP002898</t>
  </si>
  <si>
    <t>LP002911</t>
  </si>
  <si>
    <t>LP002912</t>
  </si>
  <si>
    <t>LP002916</t>
  </si>
  <si>
    <t>LP002917</t>
  </si>
  <si>
    <t>LP002925</t>
  </si>
  <si>
    <t>LP002926</t>
  </si>
  <si>
    <t>LP002928</t>
  </si>
  <si>
    <t>LP002931</t>
  </si>
  <si>
    <t>LP002933</t>
  </si>
  <si>
    <t>LP002936</t>
  </si>
  <si>
    <t>LP002938</t>
  </si>
  <si>
    <t>LP002940</t>
  </si>
  <si>
    <t>LP002941</t>
  </si>
  <si>
    <t>LP002943</t>
  </si>
  <si>
    <t>LP002945</t>
  </si>
  <si>
    <t>LP002948</t>
  </si>
  <si>
    <t>LP002949</t>
  </si>
  <si>
    <t>LP002950</t>
  </si>
  <si>
    <t>LP002953</t>
  </si>
  <si>
    <t>LP002958</t>
  </si>
  <si>
    <t>LP002959</t>
  </si>
  <si>
    <t>LP002960</t>
  </si>
  <si>
    <t>LP002961</t>
  </si>
  <si>
    <t>LP002964</t>
  </si>
  <si>
    <t>LP002974</t>
  </si>
  <si>
    <t>LP002978</t>
  </si>
  <si>
    <t>LP002979</t>
  </si>
  <si>
    <t>LP002983</t>
  </si>
  <si>
    <t>LP002984</t>
  </si>
  <si>
    <t>LP002990</t>
  </si>
  <si>
    <t>Married_code</t>
  </si>
  <si>
    <t>Graduate_code</t>
  </si>
  <si>
    <t>Self_Employed_code</t>
  </si>
  <si>
    <t>Property_urban_code</t>
  </si>
  <si>
    <t>Property_semiurban_code</t>
  </si>
  <si>
    <t>Property_rural_code</t>
  </si>
  <si>
    <t>Loan_Status_code</t>
  </si>
  <si>
    <t>Gender_code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</si>
</sst>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15"/>
  <sheetViews>
    <sheetView tabSelected="1" workbookViewId="0">
      <selection activeCell="T5" sqref="T5"/>
    </sheetView>
  </sheetViews>
  <sheetFormatPr defaultRowHeight="14.4" x14ac:dyDescent="0.3"/>
  <cols>
    <col min="20" max="21" width="10.88671875" customWidth="1"/>
    <col min="22" max="22" width="25.6640625" customWidth="1"/>
    <col min="23" max="23" width="19.109375" customWidth="1"/>
    <col min="24" max="24" width="13" customWidth="1"/>
  </cols>
  <sheetData>
    <row r="1" spans="1:25" x14ac:dyDescent="0.3">
      <c r="A1" s="1" t="s">
        <v>0</v>
      </c>
      <c r="B1" s="1" t="s">
        <v>1</v>
      </c>
      <c r="C1" s="1" t="s">
        <v>652</v>
      </c>
      <c r="D1" s="1" t="s">
        <v>2</v>
      </c>
      <c r="E1" s="1" t="s">
        <v>645</v>
      </c>
      <c r="F1" s="1" t="s">
        <v>3</v>
      </c>
      <c r="G1" s="1" t="s">
        <v>4</v>
      </c>
      <c r="H1" s="1" t="s">
        <v>646</v>
      </c>
      <c r="I1" s="1" t="s">
        <v>5</v>
      </c>
      <c r="J1" s="1" t="s">
        <v>647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648</v>
      </c>
      <c r="R1" s="1" t="s">
        <v>649</v>
      </c>
      <c r="S1" s="1" t="s">
        <v>650</v>
      </c>
      <c r="T1" s="1" t="s">
        <v>12</v>
      </c>
      <c r="U1" s="1" t="s">
        <v>651</v>
      </c>
      <c r="V1" s="1" t="s">
        <v>13</v>
      </c>
      <c r="W1" s="1" t="s">
        <v>14</v>
      </c>
      <c r="X1" s="1" t="s">
        <v>15</v>
      </c>
      <c r="Y1" s="1" t="s">
        <v>16</v>
      </c>
    </row>
    <row r="2" spans="1:25" x14ac:dyDescent="0.3">
      <c r="A2" t="s">
        <v>17</v>
      </c>
      <c r="B2" t="s">
        <v>18</v>
      </c>
      <c r="C2">
        <f>IF(B2="Male",1,0)</f>
        <v>1</v>
      </c>
      <c r="D2" t="s">
        <v>19</v>
      </c>
      <c r="E2">
        <f>IF(D2="No",0,1)</f>
        <v>0</v>
      </c>
      <c r="F2">
        <v>0</v>
      </c>
      <c r="G2" t="s">
        <v>20</v>
      </c>
      <c r="H2">
        <f>IF(G2="Graduate",1,0)</f>
        <v>1</v>
      </c>
      <c r="I2" t="s">
        <v>19</v>
      </c>
      <c r="J2">
        <f>IF(I2="No",0,1)</f>
        <v>0</v>
      </c>
      <c r="K2">
        <v>5849</v>
      </c>
      <c r="L2">
        <v>0</v>
      </c>
      <c r="M2">
        <v>128000</v>
      </c>
      <c r="N2">
        <v>360</v>
      </c>
      <c r="O2">
        <v>1</v>
      </c>
      <c r="P2" t="s">
        <v>21</v>
      </c>
      <c r="Q2">
        <f>IF(P2="Urban",1,0)</f>
        <v>1</v>
      </c>
      <c r="R2">
        <f>IF(P2="Semiurban",1,0)</f>
        <v>0</v>
      </c>
      <c r="S2">
        <f>IF(P2="Rural",1,0)</f>
        <v>0</v>
      </c>
      <c r="T2" t="s">
        <v>22</v>
      </c>
      <c r="U2">
        <f>IF(T2="Y",1,0)</f>
        <v>1</v>
      </c>
      <c r="V2">
        <v>8.6741969402259027</v>
      </c>
      <c r="W2">
        <v>0</v>
      </c>
      <c r="X2">
        <v>11.759785542901755</v>
      </c>
      <c r="Y2" t="s">
        <v>23</v>
      </c>
    </row>
    <row r="3" spans="1:25" x14ac:dyDescent="0.3">
      <c r="A3" t="s">
        <v>24</v>
      </c>
      <c r="B3" t="s">
        <v>18</v>
      </c>
      <c r="C3">
        <f t="shared" ref="C3:C66" si="0">IF(B3="Male",1,0)</f>
        <v>1</v>
      </c>
      <c r="D3" t="s">
        <v>25</v>
      </c>
      <c r="E3">
        <f t="shared" ref="E3:E66" si="1">IF(D3="No",0,1)</f>
        <v>1</v>
      </c>
      <c r="F3">
        <v>1</v>
      </c>
      <c r="G3" t="s">
        <v>20</v>
      </c>
      <c r="H3">
        <f t="shared" ref="H3:H66" si="2">IF(G3="Graduate",1,0)</f>
        <v>1</v>
      </c>
      <c r="I3" t="s">
        <v>19</v>
      </c>
      <c r="J3">
        <f t="shared" ref="J3:J66" si="3">IF(I3="No",0,1)</f>
        <v>0</v>
      </c>
      <c r="K3">
        <v>4583</v>
      </c>
      <c r="L3">
        <v>1508</v>
      </c>
      <c r="M3">
        <v>128000</v>
      </c>
      <c r="N3">
        <v>360</v>
      </c>
      <c r="O3">
        <v>1</v>
      </c>
      <c r="P3" t="s">
        <v>26</v>
      </c>
      <c r="Q3">
        <f t="shared" ref="Q3:Q66" si="4">IF(P3="Urban",1,0)</f>
        <v>0</v>
      </c>
      <c r="R3">
        <f t="shared" ref="R3:R66" si="5">IF(P3="Semiurban",1,0)</f>
        <v>0</v>
      </c>
      <c r="S3">
        <f t="shared" ref="S3:S66" si="6">IF(P3="Rural",1,0)</f>
        <v>1</v>
      </c>
      <c r="T3" t="s">
        <v>27</v>
      </c>
      <c r="U3">
        <f t="shared" ref="U3:U66" si="7">IF(T3="Y",1,0)</f>
        <v>0</v>
      </c>
      <c r="V3">
        <v>8.4303272583945752</v>
      </c>
      <c r="W3">
        <v>7.3192024587678493</v>
      </c>
      <c r="X3">
        <v>11.759785542901755</v>
      </c>
      <c r="Y3" t="s">
        <v>23</v>
      </c>
    </row>
    <row r="4" spans="1:25" x14ac:dyDescent="0.3">
      <c r="A4" t="s">
        <v>28</v>
      </c>
      <c r="B4" t="s">
        <v>18</v>
      </c>
      <c r="C4">
        <f t="shared" si="0"/>
        <v>1</v>
      </c>
      <c r="D4" t="s">
        <v>25</v>
      </c>
      <c r="E4">
        <f t="shared" si="1"/>
        <v>1</v>
      </c>
      <c r="F4">
        <v>0</v>
      </c>
      <c r="G4" t="s">
        <v>20</v>
      </c>
      <c r="H4">
        <f t="shared" si="2"/>
        <v>1</v>
      </c>
      <c r="I4" t="s">
        <v>25</v>
      </c>
      <c r="J4">
        <f t="shared" si="3"/>
        <v>1</v>
      </c>
      <c r="K4">
        <v>3000</v>
      </c>
      <c r="L4">
        <v>0</v>
      </c>
      <c r="M4">
        <v>66000</v>
      </c>
      <c r="N4">
        <v>360</v>
      </c>
      <c r="O4">
        <v>1</v>
      </c>
      <c r="P4" t="s">
        <v>21</v>
      </c>
      <c r="Q4">
        <f t="shared" si="4"/>
        <v>1</v>
      </c>
      <c r="R4">
        <f t="shared" si="5"/>
        <v>0</v>
      </c>
      <c r="S4">
        <f t="shared" si="6"/>
        <v>0</v>
      </c>
      <c r="T4" t="s">
        <v>22</v>
      </c>
      <c r="U4">
        <f t="shared" si="7"/>
        <v>1</v>
      </c>
      <c r="V4">
        <v>8.006700845440367</v>
      </c>
      <c r="W4">
        <v>0</v>
      </c>
      <c r="X4">
        <v>11.097410021008562</v>
      </c>
      <c r="Y4" t="s">
        <v>23</v>
      </c>
    </row>
    <row r="5" spans="1:25" x14ac:dyDescent="0.3">
      <c r="A5" t="s">
        <v>29</v>
      </c>
      <c r="B5" t="s">
        <v>18</v>
      </c>
      <c r="C5">
        <f t="shared" si="0"/>
        <v>1</v>
      </c>
      <c r="D5" t="s">
        <v>25</v>
      </c>
      <c r="E5">
        <f t="shared" si="1"/>
        <v>1</v>
      </c>
      <c r="F5">
        <v>0</v>
      </c>
      <c r="G5" t="s">
        <v>30</v>
      </c>
      <c r="H5">
        <f t="shared" si="2"/>
        <v>0</v>
      </c>
      <c r="I5" t="s">
        <v>19</v>
      </c>
      <c r="J5">
        <f t="shared" si="3"/>
        <v>0</v>
      </c>
      <c r="K5">
        <v>2583</v>
      </c>
      <c r="L5">
        <v>2358</v>
      </c>
      <c r="M5">
        <v>120000</v>
      </c>
      <c r="N5">
        <v>360</v>
      </c>
      <c r="O5">
        <v>1</v>
      </c>
      <c r="P5" t="s">
        <v>21</v>
      </c>
      <c r="Q5">
        <f t="shared" si="4"/>
        <v>1</v>
      </c>
      <c r="R5">
        <f t="shared" si="5"/>
        <v>0</v>
      </c>
      <c r="S5">
        <f t="shared" si="6"/>
        <v>0</v>
      </c>
      <c r="T5" t="s">
        <v>22</v>
      </c>
      <c r="U5">
        <f t="shared" si="7"/>
        <v>1</v>
      </c>
      <c r="V5">
        <v>7.8570938649024926</v>
      </c>
      <c r="W5">
        <v>7.765993079407675</v>
      </c>
      <c r="X5">
        <v>11.695247021764184</v>
      </c>
      <c r="Y5" t="s">
        <v>23</v>
      </c>
    </row>
    <row r="6" spans="1:25" x14ac:dyDescent="0.3">
      <c r="A6" t="s">
        <v>31</v>
      </c>
      <c r="B6" t="s">
        <v>18</v>
      </c>
      <c r="C6">
        <f t="shared" si="0"/>
        <v>1</v>
      </c>
      <c r="D6" t="s">
        <v>19</v>
      </c>
      <c r="E6">
        <f t="shared" si="1"/>
        <v>0</v>
      </c>
      <c r="F6">
        <v>0</v>
      </c>
      <c r="G6" t="s">
        <v>20</v>
      </c>
      <c r="H6">
        <f t="shared" si="2"/>
        <v>1</v>
      </c>
      <c r="I6" t="s">
        <v>19</v>
      </c>
      <c r="J6">
        <f t="shared" si="3"/>
        <v>0</v>
      </c>
      <c r="K6">
        <v>6000</v>
      </c>
      <c r="L6">
        <v>0</v>
      </c>
      <c r="M6">
        <v>141000</v>
      </c>
      <c r="N6">
        <v>360</v>
      </c>
      <c r="O6">
        <v>1</v>
      </c>
      <c r="P6" t="s">
        <v>21</v>
      </c>
      <c r="Q6">
        <f t="shared" si="4"/>
        <v>1</v>
      </c>
      <c r="R6">
        <f t="shared" si="5"/>
        <v>0</v>
      </c>
      <c r="S6">
        <f t="shared" si="6"/>
        <v>0</v>
      </c>
      <c r="T6" t="s">
        <v>22</v>
      </c>
      <c r="U6">
        <f t="shared" si="7"/>
        <v>1</v>
      </c>
      <c r="V6">
        <v>8.6996814009895136</v>
      </c>
      <c r="W6">
        <v>0</v>
      </c>
      <c r="X6">
        <v>11.856515169360305</v>
      </c>
      <c r="Y6" t="s">
        <v>23</v>
      </c>
    </row>
    <row r="7" spans="1:25" x14ac:dyDescent="0.3">
      <c r="A7" t="s">
        <v>32</v>
      </c>
      <c r="B7" t="s">
        <v>18</v>
      </c>
      <c r="C7">
        <f t="shared" si="0"/>
        <v>1</v>
      </c>
      <c r="D7" t="s">
        <v>25</v>
      </c>
      <c r="E7">
        <f t="shared" si="1"/>
        <v>1</v>
      </c>
      <c r="F7">
        <v>2</v>
      </c>
      <c r="G7" t="s">
        <v>20</v>
      </c>
      <c r="H7">
        <f t="shared" si="2"/>
        <v>1</v>
      </c>
      <c r="I7" t="s">
        <v>25</v>
      </c>
      <c r="J7">
        <f t="shared" si="3"/>
        <v>1</v>
      </c>
      <c r="K7">
        <v>5417</v>
      </c>
      <c r="L7">
        <v>4196</v>
      </c>
      <c r="M7">
        <v>267000</v>
      </c>
      <c r="N7">
        <v>360</v>
      </c>
      <c r="O7">
        <v>1</v>
      </c>
      <c r="P7" t="s">
        <v>21</v>
      </c>
      <c r="Q7">
        <f t="shared" si="4"/>
        <v>1</v>
      </c>
      <c r="R7">
        <f t="shared" si="5"/>
        <v>0</v>
      </c>
      <c r="S7">
        <f t="shared" si="6"/>
        <v>0</v>
      </c>
      <c r="T7" t="s">
        <v>22</v>
      </c>
      <c r="U7">
        <f t="shared" si="7"/>
        <v>1</v>
      </c>
      <c r="V7">
        <v>8.5974820226450408</v>
      </c>
      <c r="W7">
        <v>8.3421252633335907</v>
      </c>
      <c r="X7">
        <v>12.495003937382387</v>
      </c>
      <c r="Y7" t="s">
        <v>23</v>
      </c>
    </row>
    <row r="8" spans="1:25" x14ac:dyDescent="0.3">
      <c r="A8" t="s">
        <v>33</v>
      </c>
      <c r="B8" t="s">
        <v>18</v>
      </c>
      <c r="C8">
        <f t="shared" si="0"/>
        <v>1</v>
      </c>
      <c r="D8" t="s">
        <v>25</v>
      </c>
      <c r="E8">
        <f t="shared" si="1"/>
        <v>1</v>
      </c>
      <c r="F8">
        <v>0</v>
      </c>
      <c r="G8" t="s">
        <v>30</v>
      </c>
      <c r="H8">
        <f t="shared" si="2"/>
        <v>0</v>
      </c>
      <c r="I8" t="s">
        <v>19</v>
      </c>
      <c r="J8">
        <f t="shared" si="3"/>
        <v>0</v>
      </c>
      <c r="K8">
        <v>2333</v>
      </c>
      <c r="L8">
        <v>1516</v>
      </c>
      <c r="M8">
        <v>95000</v>
      </c>
      <c r="N8">
        <v>360</v>
      </c>
      <c r="O8">
        <v>1</v>
      </c>
      <c r="P8" t="s">
        <v>21</v>
      </c>
      <c r="Q8">
        <f t="shared" si="4"/>
        <v>1</v>
      </c>
      <c r="R8">
        <f t="shared" si="5"/>
        <v>0</v>
      </c>
      <c r="S8">
        <f t="shared" si="6"/>
        <v>0</v>
      </c>
      <c r="T8" t="s">
        <v>22</v>
      </c>
      <c r="U8">
        <f t="shared" si="7"/>
        <v>1</v>
      </c>
      <c r="V8">
        <v>7.7553388128465013</v>
      </c>
      <c r="W8">
        <v>7.3244899793485319</v>
      </c>
      <c r="X8">
        <v>11.461632170582678</v>
      </c>
      <c r="Y8" t="s">
        <v>23</v>
      </c>
    </row>
    <row r="9" spans="1:25" x14ac:dyDescent="0.3">
      <c r="A9" t="s">
        <v>34</v>
      </c>
      <c r="B9" t="s">
        <v>18</v>
      </c>
      <c r="C9">
        <f t="shared" si="0"/>
        <v>1</v>
      </c>
      <c r="D9" t="s">
        <v>25</v>
      </c>
      <c r="E9">
        <f t="shared" si="1"/>
        <v>1</v>
      </c>
      <c r="F9">
        <v>3</v>
      </c>
      <c r="G9" t="s">
        <v>20</v>
      </c>
      <c r="H9">
        <f t="shared" si="2"/>
        <v>1</v>
      </c>
      <c r="I9" t="s">
        <v>19</v>
      </c>
      <c r="J9">
        <f t="shared" si="3"/>
        <v>0</v>
      </c>
      <c r="K9">
        <v>3036</v>
      </c>
      <c r="L9">
        <v>2504</v>
      </c>
      <c r="M9">
        <v>158000</v>
      </c>
      <c r="N9">
        <v>360</v>
      </c>
      <c r="O9">
        <v>0</v>
      </c>
      <c r="P9" t="s">
        <v>35</v>
      </c>
      <c r="Q9">
        <f t="shared" si="4"/>
        <v>0</v>
      </c>
      <c r="R9">
        <f t="shared" si="5"/>
        <v>1</v>
      </c>
      <c r="S9">
        <f t="shared" si="6"/>
        <v>0</v>
      </c>
      <c r="T9" t="s">
        <v>27</v>
      </c>
      <c r="U9">
        <f t="shared" si="7"/>
        <v>0</v>
      </c>
      <c r="V9">
        <v>8.0186254650457496</v>
      </c>
      <c r="W9">
        <v>7.8260440135189651</v>
      </c>
      <c r="X9">
        <v>11.970350312009105</v>
      </c>
      <c r="Y9" t="s">
        <v>23</v>
      </c>
    </row>
    <row r="10" spans="1:25" x14ac:dyDescent="0.3">
      <c r="A10" t="s">
        <v>36</v>
      </c>
      <c r="B10" t="s">
        <v>18</v>
      </c>
      <c r="C10">
        <f t="shared" si="0"/>
        <v>1</v>
      </c>
      <c r="D10" t="s">
        <v>25</v>
      </c>
      <c r="E10">
        <f t="shared" si="1"/>
        <v>1</v>
      </c>
      <c r="F10">
        <v>2</v>
      </c>
      <c r="G10" t="s">
        <v>20</v>
      </c>
      <c r="H10">
        <f t="shared" si="2"/>
        <v>1</v>
      </c>
      <c r="I10" t="s">
        <v>19</v>
      </c>
      <c r="J10">
        <f t="shared" si="3"/>
        <v>0</v>
      </c>
      <c r="K10">
        <v>4006</v>
      </c>
      <c r="L10">
        <v>1526</v>
      </c>
      <c r="M10">
        <v>168000</v>
      </c>
      <c r="N10">
        <v>360</v>
      </c>
      <c r="O10">
        <v>1</v>
      </c>
      <c r="P10" t="s">
        <v>21</v>
      </c>
      <c r="Q10">
        <f t="shared" si="4"/>
        <v>1</v>
      </c>
      <c r="R10">
        <f t="shared" si="5"/>
        <v>0</v>
      </c>
      <c r="S10">
        <f t="shared" si="6"/>
        <v>0</v>
      </c>
      <c r="T10" t="s">
        <v>22</v>
      </c>
      <c r="U10">
        <f t="shared" si="7"/>
        <v>1</v>
      </c>
      <c r="V10">
        <v>8.2957981106361451</v>
      </c>
      <c r="W10">
        <v>7.3310603052186334</v>
      </c>
      <c r="X10">
        <v>12.031719258385396</v>
      </c>
      <c r="Y10" t="s">
        <v>23</v>
      </c>
    </row>
    <row r="11" spans="1:25" x14ac:dyDescent="0.3">
      <c r="A11" t="s">
        <v>37</v>
      </c>
      <c r="B11" t="s">
        <v>18</v>
      </c>
      <c r="C11">
        <f t="shared" si="0"/>
        <v>1</v>
      </c>
      <c r="D11" t="s">
        <v>25</v>
      </c>
      <c r="E11">
        <f t="shared" si="1"/>
        <v>1</v>
      </c>
      <c r="F11">
        <v>1</v>
      </c>
      <c r="G11" t="s">
        <v>20</v>
      </c>
      <c r="H11">
        <f t="shared" si="2"/>
        <v>1</v>
      </c>
      <c r="I11" t="s">
        <v>19</v>
      </c>
      <c r="J11">
        <f t="shared" si="3"/>
        <v>0</v>
      </c>
      <c r="K11">
        <v>12841</v>
      </c>
      <c r="L11">
        <v>10968</v>
      </c>
      <c r="M11">
        <v>349000</v>
      </c>
      <c r="N11">
        <v>360</v>
      </c>
      <c r="O11">
        <v>1</v>
      </c>
      <c r="P11" t="s">
        <v>35</v>
      </c>
      <c r="Q11">
        <f t="shared" si="4"/>
        <v>0</v>
      </c>
      <c r="R11">
        <f t="shared" si="5"/>
        <v>1</v>
      </c>
      <c r="S11">
        <f t="shared" si="6"/>
        <v>0</v>
      </c>
      <c r="T11" t="s">
        <v>27</v>
      </c>
      <c r="U11">
        <f t="shared" si="7"/>
        <v>0</v>
      </c>
      <c r="V11">
        <v>9.4604763283539945</v>
      </c>
      <c r="W11">
        <v>9.3028283914113334</v>
      </c>
      <c r="X11">
        <v>12.762827201184564</v>
      </c>
      <c r="Y11" t="s">
        <v>23</v>
      </c>
    </row>
    <row r="12" spans="1:25" x14ac:dyDescent="0.3">
      <c r="A12" t="s">
        <v>38</v>
      </c>
      <c r="B12" t="s">
        <v>18</v>
      </c>
      <c r="C12">
        <f t="shared" si="0"/>
        <v>1</v>
      </c>
      <c r="D12" t="s">
        <v>25</v>
      </c>
      <c r="E12">
        <f t="shared" si="1"/>
        <v>1</v>
      </c>
      <c r="F12">
        <v>2</v>
      </c>
      <c r="G12" t="s">
        <v>20</v>
      </c>
      <c r="H12">
        <f t="shared" si="2"/>
        <v>1</v>
      </c>
      <c r="I12" t="s">
        <v>19</v>
      </c>
      <c r="J12">
        <f t="shared" si="3"/>
        <v>0</v>
      </c>
      <c r="K12">
        <v>3200</v>
      </c>
      <c r="L12">
        <v>700</v>
      </c>
      <c r="M12">
        <v>70000</v>
      </c>
      <c r="N12">
        <v>360</v>
      </c>
      <c r="O12">
        <v>1</v>
      </c>
      <c r="P12" t="s">
        <v>21</v>
      </c>
      <c r="Q12">
        <f t="shared" si="4"/>
        <v>1</v>
      </c>
      <c r="R12">
        <f t="shared" si="5"/>
        <v>0</v>
      </c>
      <c r="S12">
        <f t="shared" si="6"/>
        <v>0</v>
      </c>
      <c r="T12" t="s">
        <v>22</v>
      </c>
      <c r="U12">
        <f t="shared" si="7"/>
        <v>1</v>
      </c>
      <c r="V12">
        <v>8.0712185399698626</v>
      </c>
      <c r="W12">
        <v>6.5525078870345901</v>
      </c>
      <c r="X12">
        <v>11.156250521031495</v>
      </c>
      <c r="Y12" t="s">
        <v>23</v>
      </c>
    </row>
    <row r="13" spans="1:25" x14ac:dyDescent="0.3">
      <c r="A13" t="s">
        <v>39</v>
      </c>
      <c r="B13" t="s">
        <v>18</v>
      </c>
      <c r="C13">
        <f t="shared" si="0"/>
        <v>1</v>
      </c>
      <c r="D13" t="s">
        <v>25</v>
      </c>
      <c r="E13">
        <f t="shared" si="1"/>
        <v>1</v>
      </c>
      <c r="F13">
        <v>2</v>
      </c>
      <c r="G13" t="s">
        <v>20</v>
      </c>
      <c r="H13">
        <f t="shared" si="2"/>
        <v>1</v>
      </c>
      <c r="I13" t="s">
        <v>19</v>
      </c>
      <c r="J13">
        <f t="shared" si="3"/>
        <v>0</v>
      </c>
      <c r="K13">
        <v>2500</v>
      </c>
      <c r="L13">
        <v>1840</v>
      </c>
      <c r="M13">
        <v>109000</v>
      </c>
      <c r="N13">
        <v>360</v>
      </c>
      <c r="O13">
        <v>1</v>
      </c>
      <c r="P13" t="s">
        <v>21</v>
      </c>
      <c r="Q13">
        <f t="shared" si="4"/>
        <v>1</v>
      </c>
      <c r="R13">
        <f t="shared" si="5"/>
        <v>0</v>
      </c>
      <c r="S13">
        <f t="shared" si="6"/>
        <v>0</v>
      </c>
      <c r="T13" t="s">
        <v>22</v>
      </c>
      <c r="U13">
        <f t="shared" si="7"/>
        <v>1</v>
      </c>
      <c r="V13">
        <v>7.8244459308776193</v>
      </c>
      <c r="W13">
        <v>7.5180641812330782</v>
      </c>
      <c r="X13">
        <v>11.59910316121128</v>
      </c>
      <c r="Y13" t="s">
        <v>23</v>
      </c>
    </row>
    <row r="14" spans="1:25" x14ac:dyDescent="0.3">
      <c r="A14" t="s">
        <v>40</v>
      </c>
      <c r="B14" t="s">
        <v>18</v>
      </c>
      <c r="C14">
        <f t="shared" si="0"/>
        <v>1</v>
      </c>
      <c r="D14" t="s">
        <v>25</v>
      </c>
      <c r="E14">
        <f t="shared" si="1"/>
        <v>1</v>
      </c>
      <c r="F14">
        <v>2</v>
      </c>
      <c r="G14" t="s">
        <v>20</v>
      </c>
      <c r="H14">
        <f t="shared" si="2"/>
        <v>1</v>
      </c>
      <c r="I14" t="s">
        <v>19</v>
      </c>
      <c r="J14">
        <f t="shared" si="3"/>
        <v>0</v>
      </c>
      <c r="K14">
        <v>3073</v>
      </c>
      <c r="L14">
        <v>8106</v>
      </c>
      <c r="M14">
        <v>200000</v>
      </c>
      <c r="N14">
        <v>360</v>
      </c>
      <c r="O14">
        <v>1</v>
      </c>
      <c r="P14" t="s">
        <v>21</v>
      </c>
      <c r="Q14">
        <f t="shared" si="4"/>
        <v>1</v>
      </c>
      <c r="R14">
        <f t="shared" si="5"/>
        <v>0</v>
      </c>
      <c r="S14">
        <f t="shared" si="6"/>
        <v>0</v>
      </c>
      <c r="T14" t="s">
        <v>22</v>
      </c>
      <c r="U14">
        <f t="shared" si="7"/>
        <v>1</v>
      </c>
      <c r="V14">
        <v>8.0307349240985406</v>
      </c>
      <c r="W14">
        <v>9.000483164987708</v>
      </c>
      <c r="X14">
        <v>12.206072645530174</v>
      </c>
      <c r="Y14" t="s">
        <v>23</v>
      </c>
    </row>
    <row r="15" spans="1:25" x14ac:dyDescent="0.3">
      <c r="A15" t="s">
        <v>41</v>
      </c>
      <c r="B15" t="s">
        <v>18</v>
      </c>
      <c r="C15">
        <f t="shared" si="0"/>
        <v>1</v>
      </c>
      <c r="D15" t="s">
        <v>19</v>
      </c>
      <c r="E15">
        <f t="shared" si="1"/>
        <v>0</v>
      </c>
      <c r="F15">
        <v>0</v>
      </c>
      <c r="G15" t="s">
        <v>20</v>
      </c>
      <c r="H15">
        <f t="shared" si="2"/>
        <v>1</v>
      </c>
      <c r="I15" t="s">
        <v>19</v>
      </c>
      <c r="J15">
        <f t="shared" si="3"/>
        <v>0</v>
      </c>
      <c r="K15">
        <v>1853</v>
      </c>
      <c r="L15">
        <v>2840</v>
      </c>
      <c r="M15">
        <v>114000</v>
      </c>
      <c r="N15">
        <v>360</v>
      </c>
      <c r="O15">
        <v>1</v>
      </c>
      <c r="P15" t="s">
        <v>26</v>
      </c>
      <c r="Q15">
        <f t="shared" si="4"/>
        <v>0</v>
      </c>
      <c r="R15">
        <f t="shared" si="5"/>
        <v>0</v>
      </c>
      <c r="S15">
        <f t="shared" si="6"/>
        <v>1</v>
      </c>
      <c r="T15" t="s">
        <v>27</v>
      </c>
      <c r="U15">
        <f t="shared" si="7"/>
        <v>0</v>
      </c>
      <c r="V15">
        <v>7.5251007461258004</v>
      </c>
      <c r="W15">
        <v>7.9519113818541882</v>
      </c>
      <c r="X15">
        <v>11.643953727376633</v>
      </c>
      <c r="Y15" t="s">
        <v>23</v>
      </c>
    </row>
    <row r="16" spans="1:25" x14ac:dyDescent="0.3">
      <c r="A16" t="s">
        <v>42</v>
      </c>
      <c r="B16" t="s">
        <v>18</v>
      </c>
      <c r="C16">
        <f t="shared" si="0"/>
        <v>1</v>
      </c>
      <c r="D16" t="s">
        <v>25</v>
      </c>
      <c r="E16">
        <f t="shared" si="1"/>
        <v>1</v>
      </c>
      <c r="F16">
        <v>2</v>
      </c>
      <c r="G16" t="s">
        <v>20</v>
      </c>
      <c r="H16">
        <f t="shared" si="2"/>
        <v>1</v>
      </c>
      <c r="I16" t="s">
        <v>19</v>
      </c>
      <c r="J16">
        <f t="shared" si="3"/>
        <v>0</v>
      </c>
      <c r="K16">
        <v>1299</v>
      </c>
      <c r="L16">
        <v>1086</v>
      </c>
      <c r="M16">
        <v>17000</v>
      </c>
      <c r="N16">
        <v>120</v>
      </c>
      <c r="O16">
        <v>1</v>
      </c>
      <c r="P16" t="s">
        <v>21</v>
      </c>
      <c r="Q16">
        <f t="shared" si="4"/>
        <v>1</v>
      </c>
      <c r="R16">
        <f t="shared" si="5"/>
        <v>0</v>
      </c>
      <c r="S16">
        <f t="shared" si="6"/>
        <v>0</v>
      </c>
      <c r="T16" t="s">
        <v>22</v>
      </c>
      <c r="U16">
        <f t="shared" si="7"/>
        <v>1</v>
      </c>
      <c r="V16">
        <v>7.1701195434496281</v>
      </c>
      <c r="W16">
        <v>6.9911768871212097</v>
      </c>
      <c r="X16">
        <v>9.7409686230383539</v>
      </c>
      <c r="Y16" t="s">
        <v>43</v>
      </c>
    </row>
    <row r="17" spans="1:25" x14ac:dyDescent="0.3">
      <c r="A17" t="s">
        <v>44</v>
      </c>
      <c r="B17" t="s">
        <v>18</v>
      </c>
      <c r="C17">
        <f t="shared" si="0"/>
        <v>1</v>
      </c>
      <c r="D17" t="s">
        <v>19</v>
      </c>
      <c r="E17">
        <f t="shared" si="1"/>
        <v>0</v>
      </c>
      <c r="F17">
        <v>0</v>
      </c>
      <c r="G17" t="s">
        <v>20</v>
      </c>
      <c r="H17">
        <f t="shared" si="2"/>
        <v>1</v>
      </c>
      <c r="I17" t="s">
        <v>19</v>
      </c>
      <c r="J17">
        <f t="shared" si="3"/>
        <v>0</v>
      </c>
      <c r="K17">
        <v>4950</v>
      </c>
      <c r="L17">
        <v>0</v>
      </c>
      <c r="M17">
        <v>125000</v>
      </c>
      <c r="N17">
        <v>360</v>
      </c>
      <c r="O17">
        <v>1</v>
      </c>
      <c r="P17" t="s">
        <v>21</v>
      </c>
      <c r="Q17">
        <f t="shared" si="4"/>
        <v>1</v>
      </c>
      <c r="R17">
        <f t="shared" si="5"/>
        <v>0</v>
      </c>
      <c r="S17">
        <f t="shared" si="6"/>
        <v>0</v>
      </c>
      <c r="T17" t="s">
        <v>22</v>
      </c>
      <c r="U17">
        <f t="shared" si="7"/>
        <v>1</v>
      </c>
      <c r="V17">
        <v>8.5073448553614224</v>
      </c>
      <c r="W17">
        <v>0</v>
      </c>
      <c r="X17">
        <v>11.736069016284437</v>
      </c>
      <c r="Y17" t="s">
        <v>23</v>
      </c>
    </row>
    <row r="18" spans="1:25" x14ac:dyDescent="0.3">
      <c r="A18" t="s">
        <v>45</v>
      </c>
      <c r="B18" t="s">
        <v>18</v>
      </c>
      <c r="C18">
        <f t="shared" si="0"/>
        <v>1</v>
      </c>
      <c r="D18" t="s">
        <v>19</v>
      </c>
      <c r="E18">
        <f t="shared" si="1"/>
        <v>0</v>
      </c>
      <c r="F18">
        <v>1</v>
      </c>
      <c r="G18" t="s">
        <v>30</v>
      </c>
      <c r="H18">
        <f t="shared" si="2"/>
        <v>0</v>
      </c>
      <c r="I18" t="s">
        <v>19</v>
      </c>
      <c r="J18">
        <f t="shared" si="3"/>
        <v>0</v>
      </c>
      <c r="K18">
        <v>3596</v>
      </c>
      <c r="L18">
        <v>0</v>
      </c>
      <c r="M18">
        <v>100000</v>
      </c>
      <c r="N18">
        <v>240</v>
      </c>
      <c r="O18">
        <v>1</v>
      </c>
      <c r="P18" t="s">
        <v>21</v>
      </c>
      <c r="Q18">
        <f t="shared" si="4"/>
        <v>1</v>
      </c>
      <c r="R18">
        <f t="shared" si="5"/>
        <v>0</v>
      </c>
      <c r="S18">
        <f t="shared" si="6"/>
        <v>0</v>
      </c>
      <c r="T18" t="s">
        <v>22</v>
      </c>
      <c r="U18">
        <f t="shared" si="7"/>
        <v>1</v>
      </c>
      <c r="V18">
        <v>8.1878554436956232</v>
      </c>
      <c r="W18">
        <v>0</v>
      </c>
      <c r="X18">
        <v>11.512925464970229</v>
      </c>
      <c r="Y18" t="s">
        <v>46</v>
      </c>
    </row>
    <row r="19" spans="1:25" x14ac:dyDescent="0.3">
      <c r="A19" t="s">
        <v>47</v>
      </c>
      <c r="B19" t="s">
        <v>48</v>
      </c>
      <c r="C19">
        <f t="shared" si="0"/>
        <v>0</v>
      </c>
      <c r="D19" t="s">
        <v>19</v>
      </c>
      <c r="E19">
        <f t="shared" si="1"/>
        <v>0</v>
      </c>
      <c r="F19">
        <v>0</v>
      </c>
      <c r="G19" t="s">
        <v>20</v>
      </c>
      <c r="H19">
        <f t="shared" si="2"/>
        <v>1</v>
      </c>
      <c r="I19" t="s">
        <v>19</v>
      </c>
      <c r="J19">
        <f t="shared" si="3"/>
        <v>0</v>
      </c>
      <c r="K19">
        <v>3510</v>
      </c>
      <c r="L19">
        <v>0</v>
      </c>
      <c r="M19">
        <v>76000</v>
      </c>
      <c r="N19">
        <v>360</v>
      </c>
      <c r="O19">
        <v>0</v>
      </c>
      <c r="P19" t="s">
        <v>21</v>
      </c>
      <c r="Q19">
        <f t="shared" si="4"/>
        <v>1</v>
      </c>
      <c r="R19">
        <f t="shared" si="5"/>
        <v>0</v>
      </c>
      <c r="S19">
        <f t="shared" si="6"/>
        <v>0</v>
      </c>
      <c r="T19" t="s">
        <v>27</v>
      </c>
      <c r="U19">
        <f t="shared" si="7"/>
        <v>0</v>
      </c>
      <c r="V19">
        <v>8.1636561761684323</v>
      </c>
      <c r="W19">
        <v>0</v>
      </c>
      <c r="X19">
        <v>11.238488619268468</v>
      </c>
      <c r="Y19" t="s">
        <v>23</v>
      </c>
    </row>
    <row r="20" spans="1:25" x14ac:dyDescent="0.3">
      <c r="A20" t="s">
        <v>49</v>
      </c>
      <c r="B20" t="s">
        <v>18</v>
      </c>
      <c r="C20">
        <f t="shared" si="0"/>
        <v>1</v>
      </c>
      <c r="D20" t="s">
        <v>25</v>
      </c>
      <c r="E20">
        <f t="shared" si="1"/>
        <v>1</v>
      </c>
      <c r="F20">
        <v>0</v>
      </c>
      <c r="G20" t="s">
        <v>30</v>
      </c>
      <c r="H20">
        <f t="shared" si="2"/>
        <v>0</v>
      </c>
      <c r="I20" t="s">
        <v>19</v>
      </c>
      <c r="J20">
        <f t="shared" si="3"/>
        <v>0</v>
      </c>
      <c r="K20">
        <v>4887</v>
      </c>
      <c r="L20">
        <v>0</v>
      </c>
      <c r="M20">
        <v>133000</v>
      </c>
      <c r="N20">
        <v>360</v>
      </c>
      <c r="O20">
        <v>1</v>
      </c>
      <c r="P20" t="s">
        <v>26</v>
      </c>
      <c r="Q20">
        <f t="shared" si="4"/>
        <v>0</v>
      </c>
      <c r="R20">
        <f t="shared" si="5"/>
        <v>0</v>
      </c>
      <c r="S20">
        <f t="shared" si="6"/>
        <v>1</v>
      </c>
      <c r="T20" t="s">
        <v>27</v>
      </c>
      <c r="U20">
        <f t="shared" si="7"/>
        <v>0</v>
      </c>
      <c r="V20">
        <v>8.4945385008514318</v>
      </c>
      <c r="W20">
        <v>0</v>
      </c>
      <c r="X20">
        <v>11.798104407203891</v>
      </c>
      <c r="Y20" t="s">
        <v>23</v>
      </c>
    </row>
    <row r="21" spans="1:25" x14ac:dyDescent="0.3">
      <c r="A21" t="s">
        <v>50</v>
      </c>
      <c r="B21" t="s">
        <v>18</v>
      </c>
      <c r="C21">
        <f t="shared" si="0"/>
        <v>1</v>
      </c>
      <c r="D21" t="s">
        <v>25</v>
      </c>
      <c r="E21">
        <f t="shared" si="1"/>
        <v>1</v>
      </c>
      <c r="F21">
        <v>0</v>
      </c>
      <c r="G21" t="s">
        <v>20</v>
      </c>
      <c r="H21">
        <f t="shared" si="2"/>
        <v>1</v>
      </c>
      <c r="I21" t="s">
        <v>19</v>
      </c>
      <c r="J21">
        <f t="shared" si="3"/>
        <v>0</v>
      </c>
      <c r="K21">
        <v>2600</v>
      </c>
      <c r="L21">
        <v>3500</v>
      </c>
      <c r="M21">
        <v>115000</v>
      </c>
      <c r="N21">
        <v>360</v>
      </c>
      <c r="O21">
        <v>1</v>
      </c>
      <c r="P21" t="s">
        <v>21</v>
      </c>
      <c r="Q21">
        <f t="shared" si="4"/>
        <v>1</v>
      </c>
      <c r="R21">
        <f t="shared" si="5"/>
        <v>0</v>
      </c>
      <c r="S21">
        <f t="shared" si="6"/>
        <v>0</v>
      </c>
      <c r="T21" t="s">
        <v>22</v>
      </c>
      <c r="U21">
        <f t="shared" si="7"/>
        <v>1</v>
      </c>
      <c r="V21">
        <v>7.8636512654486506</v>
      </c>
      <c r="W21">
        <v>8.160803920954665</v>
      </c>
      <c r="X21">
        <v>11.652687407345388</v>
      </c>
      <c r="Y21" t="s">
        <v>23</v>
      </c>
    </row>
    <row r="22" spans="1:25" x14ac:dyDescent="0.3">
      <c r="A22" t="s">
        <v>51</v>
      </c>
      <c r="B22" t="s">
        <v>18</v>
      </c>
      <c r="C22">
        <f t="shared" si="0"/>
        <v>1</v>
      </c>
      <c r="D22" t="s">
        <v>25</v>
      </c>
      <c r="E22">
        <f t="shared" si="1"/>
        <v>1</v>
      </c>
      <c r="F22">
        <v>0</v>
      </c>
      <c r="G22" t="s">
        <v>30</v>
      </c>
      <c r="H22">
        <f t="shared" si="2"/>
        <v>0</v>
      </c>
      <c r="I22" t="s">
        <v>19</v>
      </c>
      <c r="J22">
        <f t="shared" si="3"/>
        <v>0</v>
      </c>
      <c r="K22">
        <v>7660</v>
      </c>
      <c r="L22">
        <v>0</v>
      </c>
      <c r="M22">
        <v>104000</v>
      </c>
      <c r="N22">
        <v>360</v>
      </c>
      <c r="O22">
        <v>0</v>
      </c>
      <c r="P22" t="s">
        <v>21</v>
      </c>
      <c r="Q22">
        <f t="shared" si="4"/>
        <v>1</v>
      </c>
      <c r="R22">
        <f t="shared" si="5"/>
        <v>0</v>
      </c>
      <c r="S22">
        <f t="shared" si="6"/>
        <v>0</v>
      </c>
      <c r="T22" t="s">
        <v>27</v>
      </c>
      <c r="U22">
        <f t="shared" si="7"/>
        <v>0</v>
      </c>
      <c r="V22">
        <v>8.9438978025168208</v>
      </c>
      <c r="W22">
        <v>0</v>
      </c>
      <c r="X22">
        <v>11.552146178123509</v>
      </c>
      <c r="Y22" t="s">
        <v>23</v>
      </c>
    </row>
    <row r="23" spans="1:25" x14ac:dyDescent="0.3">
      <c r="A23" t="s">
        <v>52</v>
      </c>
      <c r="B23" t="s">
        <v>18</v>
      </c>
      <c r="C23">
        <f t="shared" si="0"/>
        <v>1</v>
      </c>
      <c r="D23" t="s">
        <v>25</v>
      </c>
      <c r="E23">
        <f t="shared" si="1"/>
        <v>1</v>
      </c>
      <c r="F23">
        <v>1</v>
      </c>
      <c r="G23" t="s">
        <v>20</v>
      </c>
      <c r="H23">
        <f t="shared" si="2"/>
        <v>1</v>
      </c>
      <c r="I23" t="s">
        <v>19</v>
      </c>
      <c r="J23">
        <f t="shared" si="3"/>
        <v>0</v>
      </c>
      <c r="K23">
        <v>5955</v>
      </c>
      <c r="L23">
        <v>5625</v>
      </c>
      <c r="M23">
        <v>315000</v>
      </c>
      <c r="N23">
        <v>360</v>
      </c>
      <c r="O23">
        <v>1</v>
      </c>
      <c r="P23" t="s">
        <v>21</v>
      </c>
      <c r="Q23">
        <f t="shared" si="4"/>
        <v>1</v>
      </c>
      <c r="R23">
        <f t="shared" si="5"/>
        <v>0</v>
      </c>
      <c r="S23">
        <f t="shared" si="6"/>
        <v>0</v>
      </c>
      <c r="T23" t="s">
        <v>22</v>
      </c>
      <c r="U23">
        <f t="shared" si="7"/>
        <v>1</v>
      </c>
      <c r="V23">
        <v>8.6921543938039001</v>
      </c>
      <c r="W23">
        <v>8.6351539890498028</v>
      </c>
      <c r="X23">
        <v>12.66032791780777</v>
      </c>
      <c r="Y23" t="s">
        <v>23</v>
      </c>
    </row>
    <row r="24" spans="1:25" x14ac:dyDescent="0.3">
      <c r="A24" t="s">
        <v>53</v>
      </c>
      <c r="B24" t="s">
        <v>18</v>
      </c>
      <c r="C24">
        <f t="shared" si="0"/>
        <v>1</v>
      </c>
      <c r="D24" t="s">
        <v>25</v>
      </c>
      <c r="E24">
        <f t="shared" si="1"/>
        <v>1</v>
      </c>
      <c r="F24">
        <v>0</v>
      </c>
      <c r="G24" t="s">
        <v>30</v>
      </c>
      <c r="H24">
        <f t="shared" si="2"/>
        <v>0</v>
      </c>
      <c r="I24" t="s">
        <v>19</v>
      </c>
      <c r="J24">
        <f t="shared" si="3"/>
        <v>0</v>
      </c>
      <c r="K24">
        <v>2600</v>
      </c>
      <c r="L24">
        <v>1911</v>
      </c>
      <c r="M24">
        <v>116000</v>
      </c>
      <c r="N24">
        <v>360</v>
      </c>
      <c r="O24">
        <v>0</v>
      </c>
      <c r="P24" t="s">
        <v>35</v>
      </c>
      <c r="Q24">
        <f t="shared" si="4"/>
        <v>0</v>
      </c>
      <c r="R24">
        <f t="shared" si="5"/>
        <v>1</v>
      </c>
      <c r="S24">
        <f t="shared" si="6"/>
        <v>0</v>
      </c>
      <c r="T24" t="s">
        <v>27</v>
      </c>
      <c r="U24">
        <f t="shared" si="7"/>
        <v>0</v>
      </c>
      <c r="V24">
        <v>7.8636512654486506</v>
      </c>
      <c r="W24">
        <v>7.5559050936113463</v>
      </c>
      <c r="X24">
        <v>11.661345470088502</v>
      </c>
      <c r="Y24" t="s">
        <v>23</v>
      </c>
    </row>
    <row r="25" spans="1:25" x14ac:dyDescent="0.3">
      <c r="A25" t="s">
        <v>54</v>
      </c>
      <c r="B25" t="s">
        <v>18</v>
      </c>
      <c r="C25">
        <f t="shared" si="0"/>
        <v>1</v>
      </c>
      <c r="D25" t="s">
        <v>25</v>
      </c>
      <c r="E25">
        <f t="shared" si="1"/>
        <v>1</v>
      </c>
      <c r="F25">
        <v>2</v>
      </c>
      <c r="G25" t="s">
        <v>30</v>
      </c>
      <c r="H25">
        <f t="shared" si="2"/>
        <v>0</v>
      </c>
      <c r="I25" t="s">
        <v>19</v>
      </c>
      <c r="J25">
        <f t="shared" si="3"/>
        <v>0</v>
      </c>
      <c r="K25">
        <v>3365</v>
      </c>
      <c r="L25">
        <v>1917</v>
      </c>
      <c r="M25">
        <v>112000</v>
      </c>
      <c r="N25">
        <v>360</v>
      </c>
      <c r="O25">
        <v>0</v>
      </c>
      <c r="P25" t="s">
        <v>26</v>
      </c>
      <c r="Q25">
        <f t="shared" si="4"/>
        <v>0</v>
      </c>
      <c r="R25">
        <f t="shared" si="5"/>
        <v>0</v>
      </c>
      <c r="S25">
        <f t="shared" si="6"/>
        <v>1</v>
      </c>
      <c r="T25" t="s">
        <v>27</v>
      </c>
      <c r="U25">
        <f t="shared" si="7"/>
        <v>0</v>
      </c>
      <c r="V25">
        <v>8.1214803747507514</v>
      </c>
      <c r="W25">
        <v>7.5590382554433839</v>
      </c>
      <c r="X25">
        <v>11.626254150277232</v>
      </c>
      <c r="Y25" t="s">
        <v>23</v>
      </c>
    </row>
    <row r="26" spans="1:25" x14ac:dyDescent="0.3">
      <c r="A26" t="s">
        <v>55</v>
      </c>
      <c r="B26" t="s">
        <v>18</v>
      </c>
      <c r="C26">
        <f t="shared" si="0"/>
        <v>1</v>
      </c>
      <c r="D26" t="s">
        <v>25</v>
      </c>
      <c r="E26">
        <f t="shared" si="1"/>
        <v>1</v>
      </c>
      <c r="F26">
        <v>1</v>
      </c>
      <c r="G26" t="s">
        <v>20</v>
      </c>
      <c r="H26">
        <f t="shared" si="2"/>
        <v>1</v>
      </c>
      <c r="I26" t="s">
        <v>19</v>
      </c>
      <c r="J26">
        <f t="shared" si="3"/>
        <v>0</v>
      </c>
      <c r="K26">
        <v>3717</v>
      </c>
      <c r="L26">
        <v>2925</v>
      </c>
      <c r="M26">
        <v>151000</v>
      </c>
      <c r="N26">
        <v>360</v>
      </c>
      <c r="O26">
        <v>1</v>
      </c>
      <c r="P26" t="s">
        <v>35</v>
      </c>
      <c r="Q26">
        <f t="shared" si="4"/>
        <v>0</v>
      </c>
      <c r="R26">
        <f t="shared" si="5"/>
        <v>1</v>
      </c>
      <c r="S26">
        <f t="shared" si="6"/>
        <v>0</v>
      </c>
      <c r="T26" t="s">
        <v>27</v>
      </c>
      <c r="U26">
        <f t="shared" si="7"/>
        <v>0</v>
      </c>
      <c r="V26">
        <v>8.2209411682813887</v>
      </c>
      <c r="W26">
        <v>7.9813915815800698</v>
      </c>
      <c r="X26">
        <v>11.925035115797062</v>
      </c>
      <c r="Y26" t="s">
        <v>23</v>
      </c>
    </row>
    <row r="27" spans="1:25" x14ac:dyDescent="0.3">
      <c r="A27" t="s">
        <v>56</v>
      </c>
      <c r="B27" t="s">
        <v>18</v>
      </c>
      <c r="C27">
        <f t="shared" si="0"/>
        <v>1</v>
      </c>
      <c r="D27" t="s">
        <v>25</v>
      </c>
      <c r="E27">
        <f t="shared" si="1"/>
        <v>1</v>
      </c>
      <c r="F27">
        <v>0</v>
      </c>
      <c r="G27" t="s">
        <v>20</v>
      </c>
      <c r="H27">
        <f t="shared" si="2"/>
        <v>1</v>
      </c>
      <c r="I27" t="s">
        <v>25</v>
      </c>
      <c r="J27">
        <f t="shared" si="3"/>
        <v>1</v>
      </c>
      <c r="K27">
        <v>9560</v>
      </c>
      <c r="L27">
        <v>0</v>
      </c>
      <c r="M27">
        <v>191000</v>
      </c>
      <c r="N27">
        <v>360</v>
      </c>
      <c r="O27">
        <v>1</v>
      </c>
      <c r="P27" t="s">
        <v>35</v>
      </c>
      <c r="Q27">
        <f t="shared" si="4"/>
        <v>0</v>
      </c>
      <c r="R27">
        <f t="shared" si="5"/>
        <v>1</v>
      </c>
      <c r="S27">
        <f t="shared" si="6"/>
        <v>0</v>
      </c>
      <c r="T27" t="s">
        <v>22</v>
      </c>
      <c r="U27">
        <f t="shared" si="7"/>
        <v>1</v>
      </c>
      <c r="V27">
        <v>9.1654476030854468</v>
      </c>
      <c r="W27">
        <v>0</v>
      </c>
      <c r="X27">
        <v>12.160028707028767</v>
      </c>
      <c r="Y27" t="s">
        <v>23</v>
      </c>
    </row>
    <row r="28" spans="1:25" x14ac:dyDescent="0.3">
      <c r="A28" t="s">
        <v>57</v>
      </c>
      <c r="B28" t="s">
        <v>18</v>
      </c>
      <c r="C28">
        <f t="shared" si="0"/>
        <v>1</v>
      </c>
      <c r="D28" t="s">
        <v>25</v>
      </c>
      <c r="E28">
        <f t="shared" si="1"/>
        <v>1</v>
      </c>
      <c r="F28">
        <v>0</v>
      </c>
      <c r="G28" t="s">
        <v>20</v>
      </c>
      <c r="H28">
        <f t="shared" si="2"/>
        <v>1</v>
      </c>
      <c r="I28" t="s">
        <v>19</v>
      </c>
      <c r="J28">
        <f t="shared" si="3"/>
        <v>0</v>
      </c>
      <c r="K28">
        <v>2799</v>
      </c>
      <c r="L28">
        <v>2253</v>
      </c>
      <c r="M28">
        <v>122000</v>
      </c>
      <c r="N28">
        <v>360</v>
      </c>
      <c r="O28">
        <v>1</v>
      </c>
      <c r="P28" t="s">
        <v>35</v>
      </c>
      <c r="Q28">
        <f t="shared" si="4"/>
        <v>0</v>
      </c>
      <c r="R28">
        <f t="shared" si="5"/>
        <v>1</v>
      </c>
      <c r="S28">
        <f t="shared" si="6"/>
        <v>0</v>
      </c>
      <c r="T28" t="s">
        <v>22</v>
      </c>
      <c r="U28">
        <f t="shared" si="7"/>
        <v>1</v>
      </c>
      <c r="V28">
        <v>7.9373746961632952</v>
      </c>
      <c r="W28">
        <v>7.720461694599722</v>
      </c>
      <c r="X28">
        <v>11.711776323715394</v>
      </c>
      <c r="Y28" t="s">
        <v>23</v>
      </c>
    </row>
    <row r="29" spans="1:25" x14ac:dyDescent="0.3">
      <c r="A29" t="s">
        <v>58</v>
      </c>
      <c r="B29" t="s">
        <v>18</v>
      </c>
      <c r="C29">
        <f t="shared" si="0"/>
        <v>1</v>
      </c>
      <c r="D29" t="s">
        <v>25</v>
      </c>
      <c r="E29">
        <f t="shared" si="1"/>
        <v>1</v>
      </c>
      <c r="F29">
        <v>2</v>
      </c>
      <c r="G29" t="s">
        <v>30</v>
      </c>
      <c r="H29">
        <f t="shared" si="2"/>
        <v>0</v>
      </c>
      <c r="I29" t="s">
        <v>19</v>
      </c>
      <c r="J29">
        <f t="shared" si="3"/>
        <v>0</v>
      </c>
      <c r="K29">
        <v>4226</v>
      </c>
      <c r="L29">
        <v>1040</v>
      </c>
      <c r="M29">
        <v>110000</v>
      </c>
      <c r="N29">
        <v>360</v>
      </c>
      <c r="O29">
        <v>1</v>
      </c>
      <c r="P29" t="s">
        <v>21</v>
      </c>
      <c r="Q29">
        <f t="shared" si="4"/>
        <v>1</v>
      </c>
      <c r="R29">
        <f t="shared" si="5"/>
        <v>0</v>
      </c>
      <c r="S29">
        <f t="shared" si="6"/>
        <v>0</v>
      </c>
      <c r="T29" t="s">
        <v>22</v>
      </c>
      <c r="U29">
        <f t="shared" si="7"/>
        <v>1</v>
      </c>
      <c r="V29">
        <v>8.3492478005667898</v>
      </c>
      <c r="W29">
        <v>6.9479370686149693</v>
      </c>
      <c r="X29">
        <v>11.608235644774552</v>
      </c>
      <c r="Y29" t="s">
        <v>23</v>
      </c>
    </row>
    <row r="30" spans="1:25" x14ac:dyDescent="0.3">
      <c r="A30" t="s">
        <v>59</v>
      </c>
      <c r="B30" t="s">
        <v>18</v>
      </c>
      <c r="C30">
        <f t="shared" si="0"/>
        <v>1</v>
      </c>
      <c r="D30" t="s">
        <v>19</v>
      </c>
      <c r="E30">
        <f t="shared" si="1"/>
        <v>0</v>
      </c>
      <c r="F30">
        <v>0</v>
      </c>
      <c r="G30" t="s">
        <v>30</v>
      </c>
      <c r="H30">
        <f t="shared" si="2"/>
        <v>0</v>
      </c>
      <c r="I30" t="s">
        <v>19</v>
      </c>
      <c r="J30">
        <f t="shared" si="3"/>
        <v>0</v>
      </c>
      <c r="K30">
        <v>1442</v>
      </c>
      <c r="L30">
        <v>0</v>
      </c>
      <c r="M30">
        <v>35000</v>
      </c>
      <c r="N30">
        <v>360</v>
      </c>
      <c r="O30">
        <v>1</v>
      </c>
      <c r="P30" t="s">
        <v>21</v>
      </c>
      <c r="Q30">
        <f t="shared" si="4"/>
        <v>1</v>
      </c>
      <c r="R30">
        <f t="shared" si="5"/>
        <v>0</v>
      </c>
      <c r="S30">
        <f t="shared" si="6"/>
        <v>0</v>
      </c>
      <c r="T30" t="s">
        <v>27</v>
      </c>
      <c r="U30">
        <f t="shared" si="7"/>
        <v>0</v>
      </c>
      <c r="V30">
        <v>7.2744795587738711</v>
      </c>
      <c r="W30">
        <v>0</v>
      </c>
      <c r="X30">
        <v>10.46310334047155</v>
      </c>
      <c r="Y30" t="s">
        <v>23</v>
      </c>
    </row>
    <row r="31" spans="1:25" x14ac:dyDescent="0.3">
      <c r="A31" t="s">
        <v>60</v>
      </c>
      <c r="B31" t="s">
        <v>48</v>
      </c>
      <c r="C31">
        <f t="shared" si="0"/>
        <v>0</v>
      </c>
      <c r="D31" t="s">
        <v>19</v>
      </c>
      <c r="E31">
        <f t="shared" si="1"/>
        <v>0</v>
      </c>
      <c r="F31">
        <v>2</v>
      </c>
      <c r="G31" t="s">
        <v>20</v>
      </c>
      <c r="H31">
        <f t="shared" si="2"/>
        <v>1</v>
      </c>
      <c r="I31" t="s">
        <v>19</v>
      </c>
      <c r="J31">
        <f t="shared" si="3"/>
        <v>0</v>
      </c>
      <c r="K31">
        <v>3750</v>
      </c>
      <c r="L31">
        <v>2083</v>
      </c>
      <c r="M31">
        <v>120000</v>
      </c>
      <c r="N31">
        <v>360</v>
      </c>
      <c r="O31">
        <v>1</v>
      </c>
      <c r="P31" t="s">
        <v>35</v>
      </c>
      <c r="Q31">
        <f t="shared" si="4"/>
        <v>0</v>
      </c>
      <c r="R31">
        <f t="shared" si="5"/>
        <v>1</v>
      </c>
      <c r="S31">
        <f t="shared" si="6"/>
        <v>0</v>
      </c>
      <c r="T31" t="s">
        <v>22</v>
      </c>
      <c r="U31">
        <f t="shared" si="7"/>
        <v>1</v>
      </c>
      <c r="V31">
        <v>8.2297777500818867</v>
      </c>
      <c r="W31">
        <v>7.6420444028732577</v>
      </c>
      <c r="X31">
        <v>11.695247021764184</v>
      </c>
      <c r="Y31" t="s">
        <v>23</v>
      </c>
    </row>
    <row r="32" spans="1:25" x14ac:dyDescent="0.3">
      <c r="A32" t="s">
        <v>61</v>
      </c>
      <c r="B32" t="s">
        <v>18</v>
      </c>
      <c r="C32">
        <f t="shared" si="0"/>
        <v>1</v>
      </c>
      <c r="D32" t="s">
        <v>25</v>
      </c>
      <c r="E32">
        <f t="shared" si="1"/>
        <v>1</v>
      </c>
      <c r="F32">
        <v>1</v>
      </c>
      <c r="G32" t="s">
        <v>20</v>
      </c>
      <c r="H32">
        <f t="shared" si="2"/>
        <v>1</v>
      </c>
      <c r="I32" t="s">
        <v>19</v>
      </c>
      <c r="J32">
        <f t="shared" si="3"/>
        <v>0</v>
      </c>
      <c r="K32">
        <v>4166</v>
      </c>
      <c r="L32">
        <v>3369</v>
      </c>
      <c r="M32">
        <v>201000</v>
      </c>
      <c r="N32">
        <v>360</v>
      </c>
      <c r="O32">
        <v>1</v>
      </c>
      <c r="P32" t="s">
        <v>21</v>
      </c>
      <c r="Q32">
        <f t="shared" si="4"/>
        <v>1</v>
      </c>
      <c r="R32">
        <f t="shared" si="5"/>
        <v>0</v>
      </c>
      <c r="S32">
        <f t="shared" si="6"/>
        <v>0</v>
      </c>
      <c r="T32" t="s">
        <v>27</v>
      </c>
      <c r="U32">
        <f t="shared" si="7"/>
        <v>0</v>
      </c>
      <c r="V32">
        <v>8.3349516314224541</v>
      </c>
      <c r="W32">
        <v>8.1226680233464066</v>
      </c>
      <c r="X32">
        <v>12.211060187041213</v>
      </c>
      <c r="Y32" t="s">
        <v>23</v>
      </c>
    </row>
    <row r="33" spans="1:25" x14ac:dyDescent="0.3">
      <c r="A33" t="s">
        <v>62</v>
      </c>
      <c r="B33" t="s">
        <v>18</v>
      </c>
      <c r="C33">
        <f t="shared" si="0"/>
        <v>1</v>
      </c>
      <c r="D33" t="s">
        <v>19</v>
      </c>
      <c r="E33">
        <f t="shared" si="1"/>
        <v>0</v>
      </c>
      <c r="F33">
        <v>0</v>
      </c>
      <c r="G33" t="s">
        <v>20</v>
      </c>
      <c r="H33">
        <f t="shared" si="2"/>
        <v>1</v>
      </c>
      <c r="I33" t="s">
        <v>19</v>
      </c>
      <c r="J33">
        <f t="shared" si="3"/>
        <v>0</v>
      </c>
      <c r="K33">
        <v>3167</v>
      </c>
      <c r="L33">
        <v>0</v>
      </c>
      <c r="M33">
        <v>74000</v>
      </c>
      <c r="N33">
        <v>360</v>
      </c>
      <c r="O33">
        <v>1</v>
      </c>
      <c r="P33" t="s">
        <v>21</v>
      </c>
      <c r="Q33">
        <f t="shared" si="4"/>
        <v>1</v>
      </c>
      <c r="R33">
        <f t="shared" si="5"/>
        <v>0</v>
      </c>
      <c r="S33">
        <f t="shared" si="6"/>
        <v>0</v>
      </c>
      <c r="T33" t="s">
        <v>27</v>
      </c>
      <c r="U33">
        <f t="shared" si="7"/>
        <v>0</v>
      </c>
      <c r="V33">
        <v>8.0608557529343159</v>
      </c>
      <c r="W33">
        <v>0</v>
      </c>
      <c r="X33">
        <v>11.211820372186306</v>
      </c>
      <c r="Y33" t="s">
        <v>23</v>
      </c>
    </row>
    <row r="34" spans="1:25" x14ac:dyDescent="0.3">
      <c r="A34" t="s">
        <v>63</v>
      </c>
      <c r="B34" t="s">
        <v>18</v>
      </c>
      <c r="C34">
        <f t="shared" si="0"/>
        <v>1</v>
      </c>
      <c r="D34" t="s">
        <v>19</v>
      </c>
      <c r="E34">
        <f t="shared" si="1"/>
        <v>0</v>
      </c>
      <c r="F34">
        <v>1</v>
      </c>
      <c r="G34" t="s">
        <v>20</v>
      </c>
      <c r="H34">
        <f t="shared" si="2"/>
        <v>1</v>
      </c>
      <c r="I34" t="s">
        <v>25</v>
      </c>
      <c r="J34">
        <f t="shared" si="3"/>
        <v>1</v>
      </c>
      <c r="K34">
        <v>4692</v>
      </c>
      <c r="L34">
        <v>0</v>
      </c>
      <c r="M34">
        <v>106000</v>
      </c>
      <c r="N34">
        <v>360</v>
      </c>
      <c r="O34">
        <v>1</v>
      </c>
      <c r="P34" t="s">
        <v>26</v>
      </c>
      <c r="Q34">
        <f t="shared" si="4"/>
        <v>0</v>
      </c>
      <c r="R34">
        <f t="shared" si="5"/>
        <v>0</v>
      </c>
      <c r="S34">
        <f t="shared" si="6"/>
        <v>1</v>
      </c>
      <c r="T34" t="s">
        <v>27</v>
      </c>
      <c r="U34">
        <f t="shared" si="7"/>
        <v>0</v>
      </c>
      <c r="V34">
        <v>8.4538273157944168</v>
      </c>
      <c r="W34">
        <v>0</v>
      </c>
      <c r="X34">
        <v>11.571194373094205</v>
      </c>
      <c r="Y34" t="s">
        <v>23</v>
      </c>
    </row>
    <row r="35" spans="1:25" x14ac:dyDescent="0.3">
      <c r="A35" t="s">
        <v>64</v>
      </c>
      <c r="B35" t="s">
        <v>18</v>
      </c>
      <c r="C35">
        <f t="shared" si="0"/>
        <v>1</v>
      </c>
      <c r="D35" t="s">
        <v>25</v>
      </c>
      <c r="E35">
        <f t="shared" si="1"/>
        <v>1</v>
      </c>
      <c r="F35">
        <v>0</v>
      </c>
      <c r="G35" t="s">
        <v>20</v>
      </c>
      <c r="H35">
        <f t="shared" si="2"/>
        <v>1</v>
      </c>
      <c r="I35" t="s">
        <v>19</v>
      </c>
      <c r="J35">
        <f t="shared" si="3"/>
        <v>0</v>
      </c>
      <c r="K35">
        <v>3500</v>
      </c>
      <c r="L35">
        <v>1667</v>
      </c>
      <c r="M35">
        <v>114000</v>
      </c>
      <c r="N35">
        <v>360</v>
      </c>
      <c r="O35">
        <v>1</v>
      </c>
      <c r="P35" t="s">
        <v>35</v>
      </c>
      <c r="Q35">
        <f t="shared" si="4"/>
        <v>0</v>
      </c>
      <c r="R35">
        <f t="shared" si="5"/>
        <v>1</v>
      </c>
      <c r="S35">
        <f t="shared" si="6"/>
        <v>0</v>
      </c>
      <c r="T35" t="s">
        <v>22</v>
      </c>
      <c r="U35">
        <f t="shared" si="7"/>
        <v>1</v>
      </c>
      <c r="V35">
        <v>8.160803920954665</v>
      </c>
      <c r="W35">
        <v>7.4193805829186923</v>
      </c>
      <c r="X35">
        <v>11.643953727376633</v>
      </c>
      <c r="Y35" t="s">
        <v>23</v>
      </c>
    </row>
    <row r="36" spans="1:25" x14ac:dyDescent="0.3">
      <c r="A36" t="s">
        <v>65</v>
      </c>
      <c r="B36" t="s">
        <v>18</v>
      </c>
      <c r="C36">
        <f t="shared" si="0"/>
        <v>1</v>
      </c>
      <c r="D36" t="s">
        <v>19</v>
      </c>
      <c r="E36">
        <f t="shared" si="1"/>
        <v>0</v>
      </c>
      <c r="F36">
        <v>3</v>
      </c>
      <c r="G36" t="s">
        <v>20</v>
      </c>
      <c r="H36">
        <f t="shared" si="2"/>
        <v>1</v>
      </c>
      <c r="I36" t="s">
        <v>19</v>
      </c>
      <c r="J36">
        <f t="shared" si="3"/>
        <v>0</v>
      </c>
      <c r="K36">
        <v>12500</v>
      </c>
      <c r="L36">
        <v>3000</v>
      </c>
      <c r="M36">
        <v>320000</v>
      </c>
      <c r="N36">
        <v>360</v>
      </c>
      <c r="O36">
        <v>1</v>
      </c>
      <c r="P36" t="s">
        <v>26</v>
      </c>
      <c r="Q36">
        <f t="shared" si="4"/>
        <v>0</v>
      </c>
      <c r="R36">
        <f t="shared" si="5"/>
        <v>0</v>
      </c>
      <c r="S36">
        <f t="shared" si="6"/>
        <v>1</v>
      </c>
      <c r="T36" t="s">
        <v>27</v>
      </c>
      <c r="U36">
        <f t="shared" si="7"/>
        <v>0</v>
      </c>
      <c r="V36">
        <v>9.4335639200905632</v>
      </c>
      <c r="W36">
        <v>8.006700845440367</v>
      </c>
      <c r="X36">
        <v>12.676076274775909</v>
      </c>
      <c r="Y36" t="s">
        <v>23</v>
      </c>
    </row>
    <row r="37" spans="1:25" x14ac:dyDescent="0.3">
      <c r="A37" t="s">
        <v>66</v>
      </c>
      <c r="B37" t="s">
        <v>18</v>
      </c>
      <c r="C37">
        <f t="shared" si="0"/>
        <v>1</v>
      </c>
      <c r="D37" t="s">
        <v>25</v>
      </c>
      <c r="E37">
        <f t="shared" si="1"/>
        <v>1</v>
      </c>
      <c r="F37">
        <v>0</v>
      </c>
      <c r="G37" t="s">
        <v>20</v>
      </c>
      <c r="H37">
        <f t="shared" si="2"/>
        <v>1</v>
      </c>
      <c r="I37" t="s">
        <v>19</v>
      </c>
      <c r="J37">
        <f t="shared" si="3"/>
        <v>0</v>
      </c>
      <c r="K37">
        <v>2275</v>
      </c>
      <c r="L37">
        <v>2067</v>
      </c>
      <c r="M37">
        <v>128000</v>
      </c>
      <c r="N37">
        <v>360</v>
      </c>
      <c r="O37">
        <v>1</v>
      </c>
      <c r="P37" t="s">
        <v>21</v>
      </c>
      <c r="Q37">
        <f t="shared" si="4"/>
        <v>1</v>
      </c>
      <c r="R37">
        <f t="shared" si="5"/>
        <v>0</v>
      </c>
      <c r="S37">
        <f t="shared" si="6"/>
        <v>0</v>
      </c>
      <c r="T37" t="s">
        <v>22</v>
      </c>
      <c r="U37">
        <f t="shared" si="7"/>
        <v>1</v>
      </c>
      <c r="V37">
        <v>7.7301747952462216</v>
      </c>
      <c r="W37">
        <v>7.6343372356283199</v>
      </c>
      <c r="X37">
        <v>11.759785542901755</v>
      </c>
      <c r="Y37" t="s">
        <v>23</v>
      </c>
    </row>
    <row r="38" spans="1:25" x14ac:dyDescent="0.3">
      <c r="A38" t="s">
        <v>67</v>
      </c>
      <c r="B38" t="s">
        <v>18</v>
      </c>
      <c r="C38">
        <f t="shared" si="0"/>
        <v>1</v>
      </c>
      <c r="D38" t="s">
        <v>25</v>
      </c>
      <c r="E38">
        <f t="shared" si="1"/>
        <v>1</v>
      </c>
      <c r="F38">
        <v>0</v>
      </c>
      <c r="G38" t="s">
        <v>20</v>
      </c>
      <c r="H38">
        <f t="shared" si="2"/>
        <v>1</v>
      </c>
      <c r="I38" t="s">
        <v>19</v>
      </c>
      <c r="J38">
        <f t="shared" si="3"/>
        <v>0</v>
      </c>
      <c r="K38">
        <v>1828</v>
      </c>
      <c r="L38">
        <v>1330</v>
      </c>
      <c r="M38">
        <v>100000</v>
      </c>
      <c r="N38">
        <v>360</v>
      </c>
      <c r="O38">
        <v>0</v>
      </c>
      <c r="P38" t="s">
        <v>21</v>
      </c>
      <c r="Q38">
        <f t="shared" si="4"/>
        <v>1</v>
      </c>
      <c r="R38">
        <f t="shared" si="5"/>
        <v>0</v>
      </c>
      <c r="S38">
        <f t="shared" si="6"/>
        <v>0</v>
      </c>
      <c r="T38" t="s">
        <v>27</v>
      </c>
      <c r="U38">
        <f t="shared" si="7"/>
        <v>0</v>
      </c>
      <c r="V38">
        <v>7.511524648390866</v>
      </c>
      <c r="W38">
        <v>7.193685818395112</v>
      </c>
      <c r="X38">
        <v>11.512925464970229</v>
      </c>
      <c r="Y38" t="s">
        <v>23</v>
      </c>
    </row>
    <row r="39" spans="1:25" x14ac:dyDescent="0.3">
      <c r="A39" t="s">
        <v>68</v>
      </c>
      <c r="B39" t="s">
        <v>48</v>
      </c>
      <c r="C39">
        <f t="shared" si="0"/>
        <v>0</v>
      </c>
      <c r="D39" t="s">
        <v>25</v>
      </c>
      <c r="E39">
        <f t="shared" si="1"/>
        <v>1</v>
      </c>
      <c r="F39">
        <v>0</v>
      </c>
      <c r="G39" t="s">
        <v>20</v>
      </c>
      <c r="H39">
        <f t="shared" si="2"/>
        <v>1</v>
      </c>
      <c r="I39" t="s">
        <v>19</v>
      </c>
      <c r="J39">
        <f t="shared" si="3"/>
        <v>0</v>
      </c>
      <c r="K39">
        <v>3667</v>
      </c>
      <c r="L39">
        <v>1459</v>
      </c>
      <c r="M39">
        <v>144000</v>
      </c>
      <c r="N39">
        <v>360</v>
      </c>
      <c r="O39">
        <v>1</v>
      </c>
      <c r="P39" t="s">
        <v>35</v>
      </c>
      <c r="Q39">
        <f t="shared" si="4"/>
        <v>0</v>
      </c>
      <c r="R39">
        <f t="shared" si="5"/>
        <v>1</v>
      </c>
      <c r="S39">
        <f t="shared" si="6"/>
        <v>0</v>
      </c>
      <c r="T39" t="s">
        <v>22</v>
      </c>
      <c r="U39">
        <f t="shared" si="7"/>
        <v>1</v>
      </c>
      <c r="V39">
        <v>8.2074018333763554</v>
      </c>
      <c r="W39">
        <v>7.2861917147023822</v>
      </c>
      <c r="X39">
        <v>11.877568578558138</v>
      </c>
      <c r="Y39" t="s">
        <v>23</v>
      </c>
    </row>
    <row r="40" spans="1:25" x14ac:dyDescent="0.3">
      <c r="A40" t="s">
        <v>69</v>
      </c>
      <c r="B40" t="s">
        <v>18</v>
      </c>
      <c r="C40">
        <f t="shared" si="0"/>
        <v>1</v>
      </c>
      <c r="D40" t="s">
        <v>19</v>
      </c>
      <c r="E40">
        <f t="shared" si="1"/>
        <v>0</v>
      </c>
      <c r="F40">
        <v>0</v>
      </c>
      <c r="G40" t="s">
        <v>20</v>
      </c>
      <c r="H40">
        <f t="shared" si="2"/>
        <v>1</v>
      </c>
      <c r="I40" t="s">
        <v>19</v>
      </c>
      <c r="J40">
        <f t="shared" si="3"/>
        <v>0</v>
      </c>
      <c r="K40">
        <v>4166</v>
      </c>
      <c r="L40">
        <v>7210</v>
      </c>
      <c r="M40">
        <v>184000</v>
      </c>
      <c r="N40">
        <v>360</v>
      </c>
      <c r="O40">
        <v>1</v>
      </c>
      <c r="P40" t="s">
        <v>21</v>
      </c>
      <c r="Q40">
        <f t="shared" si="4"/>
        <v>1</v>
      </c>
      <c r="R40">
        <f t="shared" si="5"/>
        <v>0</v>
      </c>
      <c r="S40">
        <f t="shared" si="6"/>
        <v>0</v>
      </c>
      <c r="T40" t="s">
        <v>22</v>
      </c>
      <c r="U40">
        <f t="shared" si="7"/>
        <v>1</v>
      </c>
      <c r="V40">
        <v>8.3349516314224541</v>
      </c>
      <c r="W40">
        <v>8.8833629169167594</v>
      </c>
      <c r="X40">
        <v>12.122691036591123</v>
      </c>
      <c r="Y40" t="s">
        <v>23</v>
      </c>
    </row>
    <row r="41" spans="1:25" x14ac:dyDescent="0.3">
      <c r="A41" t="s">
        <v>70</v>
      </c>
      <c r="B41" t="s">
        <v>18</v>
      </c>
      <c r="C41">
        <f t="shared" si="0"/>
        <v>1</v>
      </c>
      <c r="D41" t="s">
        <v>19</v>
      </c>
      <c r="E41">
        <f t="shared" si="1"/>
        <v>0</v>
      </c>
      <c r="F41">
        <v>0</v>
      </c>
      <c r="G41" t="s">
        <v>30</v>
      </c>
      <c r="H41">
        <f t="shared" si="2"/>
        <v>0</v>
      </c>
      <c r="I41" t="s">
        <v>19</v>
      </c>
      <c r="J41">
        <f t="shared" si="3"/>
        <v>0</v>
      </c>
      <c r="K41">
        <v>3748</v>
      </c>
      <c r="L41">
        <v>1668</v>
      </c>
      <c r="M41">
        <v>110000</v>
      </c>
      <c r="N41">
        <v>360</v>
      </c>
      <c r="O41">
        <v>1</v>
      </c>
      <c r="P41" t="s">
        <v>35</v>
      </c>
      <c r="Q41">
        <f t="shared" si="4"/>
        <v>0</v>
      </c>
      <c r="R41">
        <f t="shared" si="5"/>
        <v>1</v>
      </c>
      <c r="S41">
        <f t="shared" si="6"/>
        <v>0</v>
      </c>
      <c r="T41" t="s">
        <v>22</v>
      </c>
      <c r="U41">
        <f t="shared" si="7"/>
        <v>1</v>
      </c>
      <c r="V41">
        <v>8.2292444167359129</v>
      </c>
      <c r="W41">
        <v>7.4199799236618347</v>
      </c>
      <c r="X41">
        <v>11.608235644774552</v>
      </c>
      <c r="Y41" t="s">
        <v>23</v>
      </c>
    </row>
    <row r="42" spans="1:25" x14ac:dyDescent="0.3">
      <c r="A42" t="s">
        <v>71</v>
      </c>
      <c r="B42" t="s">
        <v>18</v>
      </c>
      <c r="C42">
        <f t="shared" si="0"/>
        <v>1</v>
      </c>
      <c r="D42" t="s">
        <v>19</v>
      </c>
      <c r="E42">
        <f t="shared" si="1"/>
        <v>0</v>
      </c>
      <c r="F42">
        <v>0</v>
      </c>
      <c r="G42" t="s">
        <v>20</v>
      </c>
      <c r="H42">
        <f t="shared" si="2"/>
        <v>1</v>
      </c>
      <c r="I42" t="s">
        <v>19</v>
      </c>
      <c r="J42">
        <f t="shared" si="3"/>
        <v>0</v>
      </c>
      <c r="K42">
        <v>3600</v>
      </c>
      <c r="L42">
        <v>0</v>
      </c>
      <c r="M42">
        <v>80000</v>
      </c>
      <c r="N42">
        <v>360</v>
      </c>
      <c r="O42">
        <v>1</v>
      </c>
      <c r="P42" t="s">
        <v>21</v>
      </c>
      <c r="Q42">
        <f t="shared" si="4"/>
        <v>1</v>
      </c>
      <c r="R42">
        <f t="shared" si="5"/>
        <v>0</v>
      </c>
      <c r="S42">
        <f t="shared" si="6"/>
        <v>0</v>
      </c>
      <c r="T42" t="s">
        <v>27</v>
      </c>
      <c r="U42">
        <f t="shared" si="7"/>
        <v>0</v>
      </c>
      <c r="V42">
        <v>8.1889668636488757</v>
      </c>
      <c r="W42">
        <v>0</v>
      </c>
      <c r="X42">
        <v>11.289781913656018</v>
      </c>
      <c r="Y42" t="s">
        <v>23</v>
      </c>
    </row>
    <row r="43" spans="1:25" x14ac:dyDescent="0.3">
      <c r="A43" t="s">
        <v>72</v>
      </c>
      <c r="B43" t="s">
        <v>18</v>
      </c>
      <c r="C43">
        <f t="shared" si="0"/>
        <v>1</v>
      </c>
      <c r="D43" t="s">
        <v>19</v>
      </c>
      <c r="E43">
        <f t="shared" si="1"/>
        <v>0</v>
      </c>
      <c r="F43">
        <v>0</v>
      </c>
      <c r="G43" t="s">
        <v>20</v>
      </c>
      <c r="H43">
        <f t="shared" si="2"/>
        <v>1</v>
      </c>
      <c r="I43" t="s">
        <v>19</v>
      </c>
      <c r="J43">
        <f t="shared" si="3"/>
        <v>0</v>
      </c>
      <c r="K43">
        <v>1800</v>
      </c>
      <c r="L43">
        <v>1213</v>
      </c>
      <c r="M43">
        <v>47000</v>
      </c>
      <c r="N43">
        <v>360</v>
      </c>
      <c r="O43">
        <v>1</v>
      </c>
      <c r="P43" t="s">
        <v>21</v>
      </c>
      <c r="Q43">
        <f t="shared" si="4"/>
        <v>1</v>
      </c>
      <c r="R43">
        <f t="shared" si="5"/>
        <v>0</v>
      </c>
      <c r="S43">
        <f t="shared" si="6"/>
        <v>0</v>
      </c>
      <c r="T43" t="s">
        <v>22</v>
      </c>
      <c r="U43">
        <f t="shared" si="7"/>
        <v>1</v>
      </c>
      <c r="V43">
        <v>7.4960973451759561</v>
      </c>
      <c r="W43">
        <v>7.1016759716194438</v>
      </c>
      <c r="X43">
        <v>10.757902880692196</v>
      </c>
      <c r="Y43" t="s">
        <v>23</v>
      </c>
    </row>
    <row r="44" spans="1:25" x14ac:dyDescent="0.3">
      <c r="A44" t="s">
        <v>73</v>
      </c>
      <c r="B44" t="s">
        <v>18</v>
      </c>
      <c r="C44">
        <f t="shared" si="0"/>
        <v>1</v>
      </c>
      <c r="D44" t="s">
        <v>25</v>
      </c>
      <c r="E44">
        <f t="shared" si="1"/>
        <v>1</v>
      </c>
      <c r="F44">
        <v>0</v>
      </c>
      <c r="G44" t="s">
        <v>20</v>
      </c>
      <c r="H44">
        <f t="shared" si="2"/>
        <v>1</v>
      </c>
      <c r="I44" t="s">
        <v>19</v>
      </c>
      <c r="J44">
        <f t="shared" si="3"/>
        <v>0</v>
      </c>
      <c r="K44">
        <v>2400</v>
      </c>
      <c r="L44">
        <v>0</v>
      </c>
      <c r="M44">
        <v>75000</v>
      </c>
      <c r="N44">
        <v>360</v>
      </c>
      <c r="O44">
        <v>1</v>
      </c>
      <c r="P44" t="s">
        <v>21</v>
      </c>
      <c r="Q44">
        <f t="shared" si="4"/>
        <v>1</v>
      </c>
      <c r="R44">
        <f t="shared" si="5"/>
        <v>0</v>
      </c>
      <c r="S44">
        <f t="shared" si="6"/>
        <v>0</v>
      </c>
      <c r="T44" t="s">
        <v>22</v>
      </c>
      <c r="U44">
        <f t="shared" si="7"/>
        <v>1</v>
      </c>
      <c r="V44">
        <v>7.7836405962212529</v>
      </c>
      <c r="W44">
        <v>0</v>
      </c>
      <c r="X44">
        <v>11.225243392518447</v>
      </c>
      <c r="Y44" t="s">
        <v>23</v>
      </c>
    </row>
    <row r="45" spans="1:25" x14ac:dyDescent="0.3">
      <c r="A45" t="s">
        <v>74</v>
      </c>
      <c r="B45" t="s">
        <v>18</v>
      </c>
      <c r="C45">
        <f t="shared" si="0"/>
        <v>1</v>
      </c>
      <c r="D45" t="s">
        <v>25</v>
      </c>
      <c r="E45">
        <f t="shared" si="1"/>
        <v>1</v>
      </c>
      <c r="F45">
        <v>0</v>
      </c>
      <c r="G45" t="s">
        <v>20</v>
      </c>
      <c r="H45">
        <f t="shared" si="2"/>
        <v>1</v>
      </c>
      <c r="I45" t="s">
        <v>19</v>
      </c>
      <c r="J45">
        <f t="shared" si="3"/>
        <v>0</v>
      </c>
      <c r="K45">
        <v>3941</v>
      </c>
      <c r="L45">
        <v>2336</v>
      </c>
      <c r="M45">
        <v>134000</v>
      </c>
      <c r="N45">
        <v>360</v>
      </c>
      <c r="O45">
        <v>1</v>
      </c>
      <c r="P45" t="s">
        <v>35</v>
      </c>
      <c r="Q45">
        <f t="shared" si="4"/>
        <v>0</v>
      </c>
      <c r="R45">
        <f t="shared" si="5"/>
        <v>1</v>
      </c>
      <c r="S45">
        <f t="shared" si="6"/>
        <v>0</v>
      </c>
      <c r="T45" t="s">
        <v>22</v>
      </c>
      <c r="U45">
        <f t="shared" si="7"/>
        <v>1</v>
      </c>
      <c r="V45">
        <v>8.2794434877126655</v>
      </c>
      <c r="W45">
        <v>7.7566233345388582</v>
      </c>
      <c r="X45">
        <v>11.805595078933049</v>
      </c>
      <c r="Y45" t="s">
        <v>23</v>
      </c>
    </row>
    <row r="46" spans="1:25" x14ac:dyDescent="0.3">
      <c r="A46" t="s">
        <v>75</v>
      </c>
      <c r="B46" t="s">
        <v>18</v>
      </c>
      <c r="C46">
        <f t="shared" si="0"/>
        <v>1</v>
      </c>
      <c r="D46" t="s">
        <v>25</v>
      </c>
      <c r="E46">
        <f t="shared" si="1"/>
        <v>1</v>
      </c>
      <c r="F46">
        <v>0</v>
      </c>
      <c r="G46" t="s">
        <v>30</v>
      </c>
      <c r="H46">
        <f t="shared" si="2"/>
        <v>0</v>
      </c>
      <c r="I46" t="s">
        <v>25</v>
      </c>
      <c r="J46">
        <f t="shared" si="3"/>
        <v>1</v>
      </c>
      <c r="K46">
        <v>4695</v>
      </c>
      <c r="L46">
        <v>0</v>
      </c>
      <c r="M46">
        <v>96000</v>
      </c>
      <c r="N46">
        <v>360</v>
      </c>
      <c r="O46">
        <v>1</v>
      </c>
      <c r="P46" t="s">
        <v>21</v>
      </c>
      <c r="Q46">
        <f t="shared" si="4"/>
        <v>1</v>
      </c>
      <c r="R46">
        <f t="shared" si="5"/>
        <v>0</v>
      </c>
      <c r="S46">
        <f t="shared" si="6"/>
        <v>0</v>
      </c>
      <c r="T46" t="s">
        <v>22</v>
      </c>
      <c r="U46">
        <f t="shared" si="7"/>
        <v>1</v>
      </c>
      <c r="V46">
        <v>8.454466361507933</v>
      </c>
      <c r="W46">
        <v>0</v>
      </c>
      <c r="X46">
        <v>11.472103470449973</v>
      </c>
      <c r="Y46" t="s">
        <v>23</v>
      </c>
    </row>
    <row r="47" spans="1:25" x14ac:dyDescent="0.3">
      <c r="A47" t="s">
        <v>76</v>
      </c>
      <c r="B47" t="s">
        <v>48</v>
      </c>
      <c r="C47">
        <f t="shared" si="0"/>
        <v>0</v>
      </c>
      <c r="D47" t="s">
        <v>19</v>
      </c>
      <c r="E47">
        <f t="shared" si="1"/>
        <v>0</v>
      </c>
      <c r="F47">
        <v>0</v>
      </c>
      <c r="G47" t="s">
        <v>20</v>
      </c>
      <c r="H47">
        <f t="shared" si="2"/>
        <v>1</v>
      </c>
      <c r="I47" t="s">
        <v>19</v>
      </c>
      <c r="J47">
        <f t="shared" si="3"/>
        <v>0</v>
      </c>
      <c r="K47">
        <v>3410</v>
      </c>
      <c r="L47">
        <v>0</v>
      </c>
      <c r="M47">
        <v>88000</v>
      </c>
      <c r="N47">
        <v>360</v>
      </c>
      <c r="O47">
        <v>1</v>
      </c>
      <c r="P47" t="s">
        <v>21</v>
      </c>
      <c r="Q47">
        <f t="shared" si="4"/>
        <v>1</v>
      </c>
      <c r="R47">
        <f t="shared" si="5"/>
        <v>0</v>
      </c>
      <c r="S47">
        <f t="shared" si="6"/>
        <v>0</v>
      </c>
      <c r="T47" t="s">
        <v>22</v>
      </c>
      <c r="U47">
        <f t="shared" si="7"/>
        <v>1</v>
      </c>
      <c r="V47">
        <v>8.1347607824186454</v>
      </c>
      <c r="W47">
        <v>0</v>
      </c>
      <c r="X47">
        <v>11.385092093460344</v>
      </c>
      <c r="Y47" t="s">
        <v>23</v>
      </c>
    </row>
    <row r="48" spans="1:25" x14ac:dyDescent="0.3">
      <c r="A48" t="s">
        <v>77</v>
      </c>
      <c r="B48" t="s">
        <v>18</v>
      </c>
      <c r="C48">
        <f t="shared" si="0"/>
        <v>1</v>
      </c>
      <c r="D48" t="s">
        <v>25</v>
      </c>
      <c r="E48">
        <f t="shared" si="1"/>
        <v>1</v>
      </c>
      <c r="F48">
        <v>1</v>
      </c>
      <c r="G48" t="s">
        <v>20</v>
      </c>
      <c r="H48">
        <f t="shared" si="2"/>
        <v>1</v>
      </c>
      <c r="I48" t="s">
        <v>19</v>
      </c>
      <c r="J48">
        <f t="shared" si="3"/>
        <v>0</v>
      </c>
      <c r="K48">
        <v>5649</v>
      </c>
      <c r="L48">
        <v>0</v>
      </c>
      <c r="M48">
        <v>44000</v>
      </c>
      <c r="N48">
        <v>360</v>
      </c>
      <c r="O48">
        <v>1</v>
      </c>
      <c r="P48" t="s">
        <v>21</v>
      </c>
      <c r="Q48">
        <f t="shared" si="4"/>
        <v>1</v>
      </c>
      <c r="R48">
        <f t="shared" si="5"/>
        <v>0</v>
      </c>
      <c r="S48">
        <f t="shared" si="6"/>
        <v>0</v>
      </c>
      <c r="T48" t="s">
        <v>22</v>
      </c>
      <c r="U48">
        <f t="shared" si="7"/>
        <v>1</v>
      </c>
      <c r="V48">
        <v>8.6394108241404872</v>
      </c>
      <c r="W48">
        <v>0</v>
      </c>
      <c r="X48">
        <v>10.691944912900398</v>
      </c>
      <c r="Y48" t="s">
        <v>23</v>
      </c>
    </row>
    <row r="49" spans="1:25" x14ac:dyDescent="0.3">
      <c r="A49" t="s">
        <v>78</v>
      </c>
      <c r="B49" t="s">
        <v>18</v>
      </c>
      <c r="C49">
        <f t="shared" si="0"/>
        <v>1</v>
      </c>
      <c r="D49" t="s">
        <v>25</v>
      </c>
      <c r="E49">
        <f t="shared" si="1"/>
        <v>1</v>
      </c>
      <c r="F49">
        <v>0</v>
      </c>
      <c r="G49" t="s">
        <v>20</v>
      </c>
      <c r="H49">
        <f t="shared" si="2"/>
        <v>1</v>
      </c>
      <c r="I49" t="s">
        <v>19</v>
      </c>
      <c r="J49">
        <f t="shared" si="3"/>
        <v>0</v>
      </c>
      <c r="K49">
        <v>5821</v>
      </c>
      <c r="L49">
        <v>0</v>
      </c>
      <c r="M49">
        <v>144000</v>
      </c>
      <c r="N49">
        <v>360</v>
      </c>
      <c r="O49">
        <v>1</v>
      </c>
      <c r="P49" t="s">
        <v>21</v>
      </c>
      <c r="Q49">
        <f t="shared" si="4"/>
        <v>1</v>
      </c>
      <c r="R49">
        <f t="shared" si="5"/>
        <v>0</v>
      </c>
      <c r="S49">
        <f t="shared" si="6"/>
        <v>0</v>
      </c>
      <c r="T49" t="s">
        <v>22</v>
      </c>
      <c r="U49">
        <f t="shared" si="7"/>
        <v>1</v>
      </c>
      <c r="V49">
        <v>8.6693991243055688</v>
      </c>
      <c r="W49">
        <v>0</v>
      </c>
      <c r="X49">
        <v>11.877568578558138</v>
      </c>
      <c r="Y49" t="s">
        <v>23</v>
      </c>
    </row>
    <row r="50" spans="1:25" x14ac:dyDescent="0.3">
      <c r="A50" t="s">
        <v>79</v>
      </c>
      <c r="B50" t="s">
        <v>48</v>
      </c>
      <c r="C50">
        <f t="shared" si="0"/>
        <v>0</v>
      </c>
      <c r="D50" t="s">
        <v>25</v>
      </c>
      <c r="E50">
        <f t="shared" si="1"/>
        <v>1</v>
      </c>
      <c r="F50">
        <v>0</v>
      </c>
      <c r="G50" t="s">
        <v>20</v>
      </c>
      <c r="H50">
        <f t="shared" si="2"/>
        <v>1</v>
      </c>
      <c r="I50" t="s">
        <v>19</v>
      </c>
      <c r="J50">
        <f t="shared" si="3"/>
        <v>0</v>
      </c>
      <c r="K50">
        <v>2645</v>
      </c>
      <c r="L50">
        <v>3440</v>
      </c>
      <c r="M50">
        <v>120000</v>
      </c>
      <c r="N50">
        <v>360</v>
      </c>
      <c r="O50">
        <v>0</v>
      </c>
      <c r="P50" t="s">
        <v>21</v>
      </c>
      <c r="Q50">
        <f t="shared" si="4"/>
        <v>1</v>
      </c>
      <c r="R50">
        <f t="shared" si="5"/>
        <v>0</v>
      </c>
      <c r="S50">
        <f t="shared" si="6"/>
        <v>0</v>
      </c>
      <c r="T50" t="s">
        <v>27</v>
      </c>
      <c r="U50">
        <f t="shared" si="7"/>
        <v>0</v>
      </c>
      <c r="V50">
        <v>7.8808043446749014</v>
      </c>
      <c r="W50">
        <v>8.1435174057974802</v>
      </c>
      <c r="X50">
        <v>11.695247021764184</v>
      </c>
      <c r="Y50" t="s">
        <v>23</v>
      </c>
    </row>
    <row r="51" spans="1:25" x14ac:dyDescent="0.3">
      <c r="A51" t="s">
        <v>80</v>
      </c>
      <c r="B51" t="s">
        <v>48</v>
      </c>
      <c r="C51">
        <f t="shared" si="0"/>
        <v>0</v>
      </c>
      <c r="D51" t="s">
        <v>19</v>
      </c>
      <c r="E51">
        <f t="shared" si="1"/>
        <v>0</v>
      </c>
      <c r="F51">
        <v>0</v>
      </c>
      <c r="G51" t="s">
        <v>20</v>
      </c>
      <c r="H51">
        <f t="shared" si="2"/>
        <v>1</v>
      </c>
      <c r="I51" t="s">
        <v>19</v>
      </c>
      <c r="J51">
        <f t="shared" si="3"/>
        <v>0</v>
      </c>
      <c r="K51">
        <v>4000</v>
      </c>
      <c r="L51">
        <v>2275</v>
      </c>
      <c r="M51">
        <v>144000</v>
      </c>
      <c r="N51">
        <v>360</v>
      </c>
      <c r="O51">
        <v>1</v>
      </c>
      <c r="P51" t="s">
        <v>35</v>
      </c>
      <c r="Q51">
        <f t="shared" si="4"/>
        <v>0</v>
      </c>
      <c r="R51">
        <f t="shared" si="5"/>
        <v>1</v>
      </c>
      <c r="S51">
        <f t="shared" si="6"/>
        <v>0</v>
      </c>
      <c r="T51" t="s">
        <v>22</v>
      </c>
      <c r="U51">
        <f t="shared" si="7"/>
        <v>1</v>
      </c>
      <c r="V51">
        <v>8.2942996088572354</v>
      </c>
      <c r="W51">
        <v>7.7301747952462216</v>
      </c>
      <c r="X51">
        <v>11.877568578558138</v>
      </c>
      <c r="Y51" t="s">
        <v>23</v>
      </c>
    </row>
    <row r="52" spans="1:25" x14ac:dyDescent="0.3">
      <c r="A52" t="s">
        <v>81</v>
      </c>
      <c r="B52" t="s">
        <v>48</v>
      </c>
      <c r="C52">
        <f t="shared" si="0"/>
        <v>0</v>
      </c>
      <c r="D52" t="s">
        <v>25</v>
      </c>
      <c r="E52">
        <f t="shared" si="1"/>
        <v>1</v>
      </c>
      <c r="F52">
        <v>0</v>
      </c>
      <c r="G52" t="s">
        <v>30</v>
      </c>
      <c r="H52">
        <f t="shared" si="2"/>
        <v>0</v>
      </c>
      <c r="I52" t="s">
        <v>19</v>
      </c>
      <c r="J52">
        <f t="shared" si="3"/>
        <v>0</v>
      </c>
      <c r="K52">
        <v>1928</v>
      </c>
      <c r="L52">
        <v>1644</v>
      </c>
      <c r="M52">
        <v>100000</v>
      </c>
      <c r="N52">
        <v>360</v>
      </c>
      <c r="O52">
        <v>1</v>
      </c>
      <c r="P52" t="s">
        <v>35</v>
      </c>
      <c r="Q52">
        <f t="shared" si="4"/>
        <v>0</v>
      </c>
      <c r="R52">
        <f t="shared" si="5"/>
        <v>1</v>
      </c>
      <c r="S52">
        <f t="shared" si="6"/>
        <v>0</v>
      </c>
      <c r="T52" t="s">
        <v>22</v>
      </c>
      <c r="U52">
        <f t="shared" si="7"/>
        <v>1</v>
      </c>
      <c r="V52">
        <v>7.5647570129057291</v>
      </c>
      <c r="W52">
        <v>7.4054956631994724</v>
      </c>
      <c r="X52">
        <v>11.512925464970229</v>
      </c>
      <c r="Y52" t="s">
        <v>23</v>
      </c>
    </row>
    <row r="53" spans="1:25" x14ac:dyDescent="0.3">
      <c r="A53" t="s">
        <v>82</v>
      </c>
      <c r="B53" t="s">
        <v>48</v>
      </c>
      <c r="C53">
        <f t="shared" si="0"/>
        <v>0</v>
      </c>
      <c r="D53" t="s">
        <v>19</v>
      </c>
      <c r="E53">
        <f t="shared" si="1"/>
        <v>0</v>
      </c>
      <c r="F53">
        <v>0</v>
      </c>
      <c r="G53" t="s">
        <v>20</v>
      </c>
      <c r="H53">
        <f t="shared" si="2"/>
        <v>1</v>
      </c>
      <c r="I53" t="s">
        <v>19</v>
      </c>
      <c r="J53">
        <f t="shared" si="3"/>
        <v>0</v>
      </c>
      <c r="K53">
        <v>3086</v>
      </c>
      <c r="L53">
        <v>0</v>
      </c>
      <c r="M53">
        <v>120000</v>
      </c>
      <c r="N53">
        <v>360</v>
      </c>
      <c r="O53">
        <v>1</v>
      </c>
      <c r="P53" t="s">
        <v>35</v>
      </c>
      <c r="Q53">
        <f t="shared" si="4"/>
        <v>0</v>
      </c>
      <c r="R53">
        <f t="shared" si="5"/>
        <v>1</v>
      </c>
      <c r="S53">
        <f t="shared" si="6"/>
        <v>0</v>
      </c>
      <c r="T53" t="s">
        <v>22</v>
      </c>
      <c r="U53">
        <f t="shared" si="7"/>
        <v>1</v>
      </c>
      <c r="V53">
        <v>8.0349550245021586</v>
      </c>
      <c r="W53">
        <v>0</v>
      </c>
      <c r="X53">
        <v>11.695247021764184</v>
      </c>
      <c r="Y53" t="s">
        <v>23</v>
      </c>
    </row>
    <row r="54" spans="1:25" x14ac:dyDescent="0.3">
      <c r="A54" t="s">
        <v>83</v>
      </c>
      <c r="B54" t="s">
        <v>48</v>
      </c>
      <c r="C54">
        <f t="shared" si="0"/>
        <v>0</v>
      </c>
      <c r="D54" t="s">
        <v>19</v>
      </c>
      <c r="E54">
        <f t="shared" si="1"/>
        <v>0</v>
      </c>
      <c r="F54">
        <v>0</v>
      </c>
      <c r="G54" t="s">
        <v>20</v>
      </c>
      <c r="H54">
        <f t="shared" si="2"/>
        <v>1</v>
      </c>
      <c r="I54" t="s">
        <v>19</v>
      </c>
      <c r="J54">
        <f t="shared" si="3"/>
        <v>0</v>
      </c>
      <c r="K54">
        <v>4230</v>
      </c>
      <c r="L54">
        <v>0</v>
      </c>
      <c r="M54">
        <v>112000</v>
      </c>
      <c r="N54">
        <v>360</v>
      </c>
      <c r="O54">
        <v>1</v>
      </c>
      <c r="P54" t="s">
        <v>35</v>
      </c>
      <c r="Q54">
        <f t="shared" si="4"/>
        <v>0</v>
      </c>
      <c r="R54">
        <f t="shared" si="5"/>
        <v>1</v>
      </c>
      <c r="S54">
        <f t="shared" si="6"/>
        <v>0</v>
      </c>
      <c r="T54" t="s">
        <v>27</v>
      </c>
      <c r="U54">
        <f t="shared" si="7"/>
        <v>0</v>
      </c>
      <c r="V54">
        <v>8.3501936507200671</v>
      </c>
      <c r="W54">
        <v>0</v>
      </c>
      <c r="X54">
        <v>11.626254150277232</v>
      </c>
      <c r="Y54" t="s">
        <v>23</v>
      </c>
    </row>
    <row r="55" spans="1:25" x14ac:dyDescent="0.3">
      <c r="A55" t="s">
        <v>84</v>
      </c>
      <c r="B55" t="s">
        <v>18</v>
      </c>
      <c r="C55">
        <f t="shared" si="0"/>
        <v>1</v>
      </c>
      <c r="D55" t="s">
        <v>25</v>
      </c>
      <c r="E55">
        <f t="shared" si="1"/>
        <v>1</v>
      </c>
      <c r="F55">
        <v>2</v>
      </c>
      <c r="G55" t="s">
        <v>20</v>
      </c>
      <c r="H55">
        <f t="shared" si="2"/>
        <v>1</v>
      </c>
      <c r="I55" t="s">
        <v>19</v>
      </c>
      <c r="J55">
        <f t="shared" si="3"/>
        <v>0</v>
      </c>
      <c r="K55">
        <v>4616</v>
      </c>
      <c r="L55">
        <v>0</v>
      </c>
      <c r="M55">
        <v>134000</v>
      </c>
      <c r="N55">
        <v>360</v>
      </c>
      <c r="O55">
        <v>1</v>
      </c>
      <c r="P55" t="s">
        <v>21</v>
      </c>
      <c r="Q55">
        <f t="shared" si="4"/>
        <v>1</v>
      </c>
      <c r="R55">
        <f t="shared" si="5"/>
        <v>0</v>
      </c>
      <c r="S55">
        <f t="shared" si="6"/>
        <v>0</v>
      </c>
      <c r="T55" t="s">
        <v>27</v>
      </c>
      <c r="U55">
        <f t="shared" si="7"/>
        <v>0</v>
      </c>
      <c r="V55">
        <v>8.4375004225069894</v>
      </c>
      <c r="W55">
        <v>0</v>
      </c>
      <c r="X55">
        <v>11.805595078933049</v>
      </c>
      <c r="Y55" t="s">
        <v>23</v>
      </c>
    </row>
    <row r="56" spans="1:25" x14ac:dyDescent="0.3">
      <c r="A56" t="s">
        <v>85</v>
      </c>
      <c r="B56" t="s">
        <v>48</v>
      </c>
      <c r="C56">
        <f t="shared" si="0"/>
        <v>0</v>
      </c>
      <c r="D56" t="s">
        <v>25</v>
      </c>
      <c r="E56">
        <f t="shared" si="1"/>
        <v>1</v>
      </c>
      <c r="F56">
        <v>1</v>
      </c>
      <c r="G56" t="s">
        <v>20</v>
      </c>
      <c r="H56">
        <f t="shared" si="2"/>
        <v>1</v>
      </c>
      <c r="I56" t="s">
        <v>25</v>
      </c>
      <c r="J56">
        <f t="shared" si="3"/>
        <v>1</v>
      </c>
      <c r="K56">
        <v>11500</v>
      </c>
      <c r="L56">
        <v>0</v>
      </c>
      <c r="M56">
        <v>286000</v>
      </c>
      <c r="N56">
        <v>360</v>
      </c>
      <c r="O56">
        <v>0</v>
      </c>
      <c r="P56" t="s">
        <v>21</v>
      </c>
      <c r="Q56">
        <f t="shared" si="4"/>
        <v>1</v>
      </c>
      <c r="R56">
        <f t="shared" si="5"/>
        <v>0</v>
      </c>
      <c r="S56">
        <f t="shared" si="6"/>
        <v>0</v>
      </c>
      <c r="T56" t="s">
        <v>27</v>
      </c>
      <c r="U56">
        <f t="shared" si="7"/>
        <v>0</v>
      </c>
      <c r="V56">
        <v>9.3501892670925812</v>
      </c>
      <c r="W56">
        <v>0</v>
      </c>
      <c r="X56">
        <v>12.563747089801989</v>
      </c>
      <c r="Y56" t="s">
        <v>23</v>
      </c>
    </row>
    <row r="57" spans="1:25" x14ac:dyDescent="0.3">
      <c r="A57" t="s">
        <v>86</v>
      </c>
      <c r="B57" t="s">
        <v>18</v>
      </c>
      <c r="C57">
        <f t="shared" si="0"/>
        <v>1</v>
      </c>
      <c r="D57" t="s">
        <v>25</v>
      </c>
      <c r="E57">
        <f t="shared" si="1"/>
        <v>1</v>
      </c>
      <c r="F57">
        <v>2</v>
      </c>
      <c r="G57" t="s">
        <v>20</v>
      </c>
      <c r="H57">
        <f t="shared" si="2"/>
        <v>1</v>
      </c>
      <c r="I57" t="s">
        <v>19</v>
      </c>
      <c r="J57">
        <f t="shared" si="3"/>
        <v>0</v>
      </c>
      <c r="K57">
        <v>2708</v>
      </c>
      <c r="L57">
        <v>1167</v>
      </c>
      <c r="M57">
        <v>97000</v>
      </c>
      <c r="N57">
        <v>360</v>
      </c>
      <c r="O57">
        <v>1</v>
      </c>
      <c r="P57" t="s">
        <v>35</v>
      </c>
      <c r="Q57">
        <f t="shared" si="4"/>
        <v>0</v>
      </c>
      <c r="R57">
        <f t="shared" si="5"/>
        <v>1</v>
      </c>
      <c r="S57">
        <f t="shared" si="6"/>
        <v>0</v>
      </c>
      <c r="T57" t="s">
        <v>22</v>
      </c>
      <c r="U57">
        <f t="shared" si="7"/>
        <v>1</v>
      </c>
      <c r="V57">
        <v>7.9043348420850954</v>
      </c>
      <c r="W57">
        <v>7.0630481633881734</v>
      </c>
      <c r="X57">
        <v>11.48246625748552</v>
      </c>
      <c r="Y57" t="s">
        <v>23</v>
      </c>
    </row>
    <row r="58" spans="1:25" x14ac:dyDescent="0.3">
      <c r="A58" t="s">
        <v>87</v>
      </c>
      <c r="B58" t="s">
        <v>18</v>
      </c>
      <c r="C58">
        <f t="shared" si="0"/>
        <v>1</v>
      </c>
      <c r="D58" t="s">
        <v>25</v>
      </c>
      <c r="E58">
        <f t="shared" si="1"/>
        <v>1</v>
      </c>
      <c r="F58">
        <v>0</v>
      </c>
      <c r="G58" t="s">
        <v>20</v>
      </c>
      <c r="H58">
        <f t="shared" si="2"/>
        <v>1</v>
      </c>
      <c r="I58" t="s">
        <v>19</v>
      </c>
      <c r="J58">
        <f t="shared" si="3"/>
        <v>0</v>
      </c>
      <c r="K58">
        <v>2132</v>
      </c>
      <c r="L58">
        <v>1591</v>
      </c>
      <c r="M58">
        <v>96000</v>
      </c>
      <c r="N58">
        <v>360</v>
      </c>
      <c r="O58">
        <v>1</v>
      </c>
      <c r="P58" t="s">
        <v>35</v>
      </c>
      <c r="Q58">
        <f t="shared" si="4"/>
        <v>0</v>
      </c>
      <c r="R58">
        <f t="shared" si="5"/>
        <v>1</v>
      </c>
      <c r="S58">
        <f t="shared" si="6"/>
        <v>0</v>
      </c>
      <c r="T58" t="s">
        <v>22</v>
      </c>
      <c r="U58">
        <f t="shared" si="7"/>
        <v>1</v>
      </c>
      <c r="V58">
        <v>7.6652847184713506</v>
      </c>
      <c r="W58">
        <v>7.3727463664043276</v>
      </c>
      <c r="X58">
        <v>11.472103470449973</v>
      </c>
      <c r="Y58" t="s">
        <v>23</v>
      </c>
    </row>
    <row r="59" spans="1:25" x14ac:dyDescent="0.3">
      <c r="A59" t="s">
        <v>88</v>
      </c>
      <c r="B59" t="s">
        <v>18</v>
      </c>
      <c r="C59">
        <f t="shared" si="0"/>
        <v>1</v>
      </c>
      <c r="D59" t="s">
        <v>25</v>
      </c>
      <c r="E59">
        <f t="shared" si="1"/>
        <v>1</v>
      </c>
      <c r="F59">
        <v>0</v>
      </c>
      <c r="G59" t="s">
        <v>20</v>
      </c>
      <c r="H59">
        <f t="shared" si="2"/>
        <v>1</v>
      </c>
      <c r="I59" t="s">
        <v>19</v>
      </c>
      <c r="J59">
        <f t="shared" si="3"/>
        <v>0</v>
      </c>
      <c r="K59">
        <v>3366</v>
      </c>
      <c r="L59">
        <v>2200</v>
      </c>
      <c r="M59">
        <v>135000</v>
      </c>
      <c r="N59">
        <v>360</v>
      </c>
      <c r="O59">
        <v>1</v>
      </c>
      <c r="P59" t="s">
        <v>26</v>
      </c>
      <c r="Q59">
        <f t="shared" si="4"/>
        <v>0</v>
      </c>
      <c r="R59">
        <f t="shared" si="5"/>
        <v>0</v>
      </c>
      <c r="S59">
        <f t="shared" si="6"/>
        <v>1</v>
      </c>
      <c r="T59" t="s">
        <v>27</v>
      </c>
      <c r="U59">
        <f t="shared" si="7"/>
        <v>0</v>
      </c>
      <c r="V59">
        <v>8.1217774191610737</v>
      </c>
      <c r="W59">
        <v>7.6966670815264617</v>
      </c>
      <c r="X59">
        <v>11.813030057420567</v>
      </c>
      <c r="Y59" t="s">
        <v>23</v>
      </c>
    </row>
    <row r="60" spans="1:25" x14ac:dyDescent="0.3">
      <c r="A60" t="s">
        <v>89</v>
      </c>
      <c r="B60" t="s">
        <v>18</v>
      </c>
      <c r="C60">
        <f t="shared" si="0"/>
        <v>1</v>
      </c>
      <c r="D60" t="s">
        <v>25</v>
      </c>
      <c r="E60">
        <f t="shared" si="1"/>
        <v>1</v>
      </c>
      <c r="F60">
        <v>1</v>
      </c>
      <c r="G60" t="s">
        <v>20</v>
      </c>
      <c r="H60">
        <f t="shared" si="2"/>
        <v>1</v>
      </c>
      <c r="I60" t="s">
        <v>19</v>
      </c>
      <c r="J60">
        <f t="shared" si="3"/>
        <v>0</v>
      </c>
      <c r="K60">
        <v>8080</v>
      </c>
      <c r="L60">
        <v>2250</v>
      </c>
      <c r="M60">
        <v>180000</v>
      </c>
      <c r="N60">
        <v>360</v>
      </c>
      <c r="O60">
        <v>1</v>
      </c>
      <c r="P60" t="s">
        <v>21</v>
      </c>
      <c r="Q60">
        <f t="shared" si="4"/>
        <v>1</v>
      </c>
      <c r="R60">
        <f t="shared" si="5"/>
        <v>0</v>
      </c>
      <c r="S60">
        <f t="shared" si="6"/>
        <v>0</v>
      </c>
      <c r="T60" t="s">
        <v>22</v>
      </c>
      <c r="U60">
        <f t="shared" si="7"/>
        <v>1</v>
      </c>
      <c r="V60">
        <v>8.9972709062334477</v>
      </c>
      <c r="W60">
        <v>7.7191298409067324</v>
      </c>
      <c r="X60">
        <v>12.100712129872347</v>
      </c>
      <c r="Y60" t="s">
        <v>23</v>
      </c>
    </row>
    <row r="61" spans="1:25" x14ac:dyDescent="0.3">
      <c r="A61" t="s">
        <v>90</v>
      </c>
      <c r="B61" t="s">
        <v>18</v>
      </c>
      <c r="C61">
        <f t="shared" si="0"/>
        <v>1</v>
      </c>
      <c r="D61" t="s">
        <v>25</v>
      </c>
      <c r="E61">
        <f t="shared" si="1"/>
        <v>1</v>
      </c>
      <c r="F61">
        <v>2</v>
      </c>
      <c r="G61" t="s">
        <v>30</v>
      </c>
      <c r="H61">
        <f t="shared" si="2"/>
        <v>0</v>
      </c>
      <c r="I61" t="s">
        <v>19</v>
      </c>
      <c r="J61">
        <f t="shared" si="3"/>
        <v>0</v>
      </c>
      <c r="K61">
        <v>3357</v>
      </c>
      <c r="L61">
        <v>2859</v>
      </c>
      <c r="M61">
        <v>144000</v>
      </c>
      <c r="N61">
        <v>360</v>
      </c>
      <c r="O61">
        <v>1</v>
      </c>
      <c r="P61" t="s">
        <v>21</v>
      </c>
      <c r="Q61">
        <f t="shared" si="4"/>
        <v>1</v>
      </c>
      <c r="R61">
        <f t="shared" si="5"/>
        <v>0</v>
      </c>
      <c r="S61">
        <f t="shared" si="6"/>
        <v>0</v>
      </c>
      <c r="T61" t="s">
        <v>22</v>
      </c>
      <c r="U61">
        <f t="shared" si="7"/>
        <v>1</v>
      </c>
      <c r="V61">
        <v>8.119100837637486</v>
      </c>
      <c r="W61">
        <v>7.9585769038138983</v>
      </c>
      <c r="X61">
        <v>11.877568578558138</v>
      </c>
      <c r="Y61" t="s">
        <v>23</v>
      </c>
    </row>
    <row r="62" spans="1:25" x14ac:dyDescent="0.3">
      <c r="A62" t="s">
        <v>91</v>
      </c>
      <c r="B62" t="s">
        <v>18</v>
      </c>
      <c r="C62">
        <f t="shared" si="0"/>
        <v>1</v>
      </c>
      <c r="D62" t="s">
        <v>25</v>
      </c>
      <c r="E62">
        <f t="shared" si="1"/>
        <v>1</v>
      </c>
      <c r="F62">
        <v>0</v>
      </c>
      <c r="G62" t="s">
        <v>20</v>
      </c>
      <c r="H62">
        <f t="shared" si="2"/>
        <v>1</v>
      </c>
      <c r="I62" t="s">
        <v>19</v>
      </c>
      <c r="J62">
        <f t="shared" si="3"/>
        <v>0</v>
      </c>
      <c r="K62">
        <v>2500</v>
      </c>
      <c r="L62">
        <v>3796</v>
      </c>
      <c r="M62">
        <v>120000</v>
      </c>
      <c r="N62">
        <v>360</v>
      </c>
      <c r="O62">
        <v>1</v>
      </c>
      <c r="P62" t="s">
        <v>21</v>
      </c>
      <c r="Q62">
        <f t="shared" si="4"/>
        <v>1</v>
      </c>
      <c r="R62">
        <f t="shared" si="5"/>
        <v>0</v>
      </c>
      <c r="S62">
        <f t="shared" si="6"/>
        <v>0</v>
      </c>
      <c r="T62" t="s">
        <v>22</v>
      </c>
      <c r="U62">
        <f t="shared" si="7"/>
        <v>1</v>
      </c>
      <c r="V62">
        <v>7.8244459308776193</v>
      </c>
      <c r="W62">
        <v>8.241966560231802</v>
      </c>
      <c r="X62">
        <v>11.695247021764184</v>
      </c>
      <c r="Y62" t="s">
        <v>23</v>
      </c>
    </row>
    <row r="63" spans="1:25" x14ac:dyDescent="0.3">
      <c r="A63" t="s">
        <v>92</v>
      </c>
      <c r="B63" t="s">
        <v>18</v>
      </c>
      <c r="C63">
        <f t="shared" si="0"/>
        <v>1</v>
      </c>
      <c r="D63" t="s">
        <v>25</v>
      </c>
      <c r="E63">
        <f t="shared" si="1"/>
        <v>1</v>
      </c>
      <c r="F63">
        <v>3</v>
      </c>
      <c r="G63" t="s">
        <v>20</v>
      </c>
      <c r="H63">
        <f t="shared" si="2"/>
        <v>1</v>
      </c>
      <c r="I63" t="s">
        <v>19</v>
      </c>
      <c r="J63">
        <f t="shared" si="3"/>
        <v>0</v>
      </c>
      <c r="K63">
        <v>3029</v>
      </c>
      <c r="L63">
        <v>0</v>
      </c>
      <c r="M63">
        <v>99000</v>
      </c>
      <c r="N63">
        <v>360</v>
      </c>
      <c r="O63">
        <v>1</v>
      </c>
      <c r="P63" t="s">
        <v>21</v>
      </c>
      <c r="Q63">
        <f t="shared" si="4"/>
        <v>1</v>
      </c>
      <c r="R63">
        <f t="shared" si="5"/>
        <v>0</v>
      </c>
      <c r="S63">
        <f t="shared" si="6"/>
        <v>0</v>
      </c>
      <c r="T63" t="s">
        <v>22</v>
      </c>
      <c r="U63">
        <f t="shared" si="7"/>
        <v>1</v>
      </c>
      <c r="V63">
        <v>8.0163178985034147</v>
      </c>
      <c r="W63">
        <v>0</v>
      </c>
      <c r="X63">
        <v>11.502875129116727</v>
      </c>
      <c r="Y63" t="s">
        <v>23</v>
      </c>
    </row>
    <row r="64" spans="1:25" x14ac:dyDescent="0.3">
      <c r="A64" t="s">
        <v>93</v>
      </c>
      <c r="B64" t="s">
        <v>18</v>
      </c>
      <c r="C64">
        <f t="shared" si="0"/>
        <v>1</v>
      </c>
      <c r="D64" t="s">
        <v>25</v>
      </c>
      <c r="E64">
        <f t="shared" si="1"/>
        <v>1</v>
      </c>
      <c r="F64">
        <v>0</v>
      </c>
      <c r="G64" t="s">
        <v>30</v>
      </c>
      <c r="H64">
        <f t="shared" si="2"/>
        <v>0</v>
      </c>
      <c r="I64" t="s">
        <v>25</v>
      </c>
      <c r="J64">
        <f t="shared" si="3"/>
        <v>1</v>
      </c>
      <c r="K64">
        <v>2609</v>
      </c>
      <c r="L64">
        <v>3449</v>
      </c>
      <c r="M64">
        <v>165000</v>
      </c>
      <c r="N64">
        <v>180</v>
      </c>
      <c r="O64">
        <v>0</v>
      </c>
      <c r="P64" t="s">
        <v>26</v>
      </c>
      <c r="Q64">
        <f t="shared" si="4"/>
        <v>0</v>
      </c>
      <c r="R64">
        <f t="shared" si="5"/>
        <v>0</v>
      </c>
      <c r="S64">
        <f t="shared" si="6"/>
        <v>1</v>
      </c>
      <c r="T64" t="s">
        <v>27</v>
      </c>
      <c r="U64">
        <f t="shared" si="7"/>
        <v>0</v>
      </c>
      <c r="V64">
        <v>7.8671055003167387</v>
      </c>
      <c r="W64">
        <v>8.1461295100254052</v>
      </c>
      <c r="X64">
        <v>12.013700752882718</v>
      </c>
      <c r="Y64" t="s">
        <v>46</v>
      </c>
    </row>
    <row r="65" spans="1:25" x14ac:dyDescent="0.3">
      <c r="A65" t="s">
        <v>94</v>
      </c>
      <c r="B65" t="s">
        <v>18</v>
      </c>
      <c r="C65">
        <f t="shared" si="0"/>
        <v>1</v>
      </c>
      <c r="D65" t="s">
        <v>25</v>
      </c>
      <c r="E65">
        <f t="shared" si="1"/>
        <v>1</v>
      </c>
      <c r="F65">
        <v>1</v>
      </c>
      <c r="G65" t="s">
        <v>20</v>
      </c>
      <c r="H65">
        <f t="shared" si="2"/>
        <v>1</v>
      </c>
      <c r="I65" t="s">
        <v>19</v>
      </c>
      <c r="J65">
        <f t="shared" si="3"/>
        <v>0</v>
      </c>
      <c r="K65">
        <v>4945</v>
      </c>
      <c r="L65">
        <v>0</v>
      </c>
      <c r="M65">
        <v>128000</v>
      </c>
      <c r="N65">
        <v>360</v>
      </c>
      <c r="O65">
        <v>0</v>
      </c>
      <c r="P65" t="s">
        <v>26</v>
      </c>
      <c r="Q65">
        <f t="shared" si="4"/>
        <v>0</v>
      </c>
      <c r="R65">
        <f t="shared" si="5"/>
        <v>0</v>
      </c>
      <c r="S65">
        <f t="shared" si="6"/>
        <v>1</v>
      </c>
      <c r="T65" t="s">
        <v>27</v>
      </c>
      <c r="U65">
        <f t="shared" si="7"/>
        <v>0</v>
      </c>
      <c r="V65">
        <v>8.5063344480813612</v>
      </c>
      <c r="W65">
        <v>0</v>
      </c>
      <c r="X65">
        <v>11.759785542901755</v>
      </c>
      <c r="Y65" t="s">
        <v>23</v>
      </c>
    </row>
    <row r="66" spans="1:25" x14ac:dyDescent="0.3">
      <c r="A66" t="s">
        <v>95</v>
      </c>
      <c r="B66" t="s">
        <v>48</v>
      </c>
      <c r="C66">
        <f t="shared" si="0"/>
        <v>0</v>
      </c>
      <c r="D66" t="s">
        <v>19</v>
      </c>
      <c r="E66">
        <f t="shared" si="1"/>
        <v>0</v>
      </c>
      <c r="F66">
        <v>0</v>
      </c>
      <c r="G66" t="s">
        <v>20</v>
      </c>
      <c r="H66">
        <f t="shared" si="2"/>
        <v>1</v>
      </c>
      <c r="I66" t="s">
        <v>19</v>
      </c>
      <c r="J66">
        <f t="shared" si="3"/>
        <v>0</v>
      </c>
      <c r="K66">
        <v>4166</v>
      </c>
      <c r="L66">
        <v>0</v>
      </c>
      <c r="M66">
        <v>116000</v>
      </c>
      <c r="N66">
        <v>360</v>
      </c>
      <c r="O66">
        <v>0</v>
      </c>
      <c r="P66" t="s">
        <v>35</v>
      </c>
      <c r="Q66">
        <f t="shared" si="4"/>
        <v>0</v>
      </c>
      <c r="R66">
        <f t="shared" si="5"/>
        <v>1</v>
      </c>
      <c r="S66">
        <f t="shared" si="6"/>
        <v>0</v>
      </c>
      <c r="T66" t="s">
        <v>27</v>
      </c>
      <c r="U66">
        <f t="shared" si="7"/>
        <v>0</v>
      </c>
      <c r="V66">
        <v>8.3349516314224541</v>
      </c>
      <c r="W66">
        <v>0</v>
      </c>
      <c r="X66">
        <v>11.661345470088502</v>
      </c>
      <c r="Y66" t="s">
        <v>23</v>
      </c>
    </row>
    <row r="67" spans="1:25" x14ac:dyDescent="0.3">
      <c r="A67" t="s">
        <v>96</v>
      </c>
      <c r="B67" t="s">
        <v>18</v>
      </c>
      <c r="C67">
        <f t="shared" ref="C67:C130" si="8">IF(B67="Male",1,0)</f>
        <v>1</v>
      </c>
      <c r="D67" t="s">
        <v>25</v>
      </c>
      <c r="E67">
        <f t="shared" ref="E67:E130" si="9">IF(D67="No",0,1)</f>
        <v>1</v>
      </c>
      <c r="F67">
        <v>0</v>
      </c>
      <c r="G67" t="s">
        <v>20</v>
      </c>
      <c r="H67">
        <f t="shared" ref="H67:H130" si="10">IF(G67="Graduate",1,0)</f>
        <v>1</v>
      </c>
      <c r="I67" t="s">
        <v>19</v>
      </c>
      <c r="J67">
        <f t="shared" ref="J67:J130" si="11">IF(I67="No",0,1)</f>
        <v>0</v>
      </c>
      <c r="K67">
        <v>5726</v>
      </c>
      <c r="L67">
        <v>4595</v>
      </c>
      <c r="M67">
        <v>258000</v>
      </c>
      <c r="N67">
        <v>360</v>
      </c>
      <c r="O67">
        <v>1</v>
      </c>
      <c r="P67" t="s">
        <v>35</v>
      </c>
      <c r="Q67">
        <f t="shared" ref="Q67:Q130" si="12">IF(P67="Urban",1,0)</f>
        <v>0</v>
      </c>
      <c r="R67">
        <f t="shared" ref="R67:R130" si="13">IF(P67="Semiurban",1,0)</f>
        <v>1</v>
      </c>
      <c r="S67">
        <f t="shared" ref="S67:S130" si="14">IF(P67="Rural",1,0)</f>
        <v>0</v>
      </c>
      <c r="T67" t="s">
        <v>27</v>
      </c>
      <c r="U67">
        <f t="shared" ref="U67:U130" si="15">IF(T67="Y",1,0)</f>
        <v>0</v>
      </c>
      <c r="V67">
        <v>8.6529471123938571</v>
      </c>
      <c r="W67">
        <v>8.4329416389686465</v>
      </c>
      <c r="X67">
        <v>12.460714863903755</v>
      </c>
      <c r="Y67" t="s">
        <v>23</v>
      </c>
    </row>
    <row r="68" spans="1:25" x14ac:dyDescent="0.3">
      <c r="A68" t="s">
        <v>97</v>
      </c>
      <c r="B68" t="s">
        <v>18</v>
      </c>
      <c r="C68">
        <f t="shared" si="8"/>
        <v>1</v>
      </c>
      <c r="D68" t="s">
        <v>19</v>
      </c>
      <c r="E68">
        <f t="shared" si="9"/>
        <v>0</v>
      </c>
      <c r="F68">
        <v>0</v>
      </c>
      <c r="G68" t="s">
        <v>30</v>
      </c>
      <c r="H68">
        <f t="shared" si="10"/>
        <v>0</v>
      </c>
      <c r="I68" t="s">
        <v>19</v>
      </c>
      <c r="J68">
        <f t="shared" si="11"/>
        <v>0</v>
      </c>
      <c r="K68">
        <v>3200</v>
      </c>
      <c r="L68">
        <v>2254</v>
      </c>
      <c r="M68">
        <v>126000</v>
      </c>
      <c r="N68">
        <v>180</v>
      </c>
      <c r="O68">
        <v>0</v>
      </c>
      <c r="P68" t="s">
        <v>21</v>
      </c>
      <c r="Q68">
        <f t="shared" si="12"/>
        <v>1</v>
      </c>
      <c r="R68">
        <f t="shared" si="13"/>
        <v>0</v>
      </c>
      <c r="S68">
        <f t="shared" si="14"/>
        <v>0</v>
      </c>
      <c r="T68" t="s">
        <v>27</v>
      </c>
      <c r="U68">
        <f t="shared" si="15"/>
        <v>0</v>
      </c>
      <c r="V68">
        <v>8.0712185399698626</v>
      </c>
      <c r="W68">
        <v>7.7209052519367791</v>
      </c>
      <c r="X68">
        <v>11.744037185933616</v>
      </c>
      <c r="Y68" t="s">
        <v>46</v>
      </c>
    </row>
    <row r="69" spans="1:25" x14ac:dyDescent="0.3">
      <c r="A69" t="s">
        <v>98</v>
      </c>
      <c r="B69" t="s">
        <v>18</v>
      </c>
      <c r="C69">
        <f t="shared" si="8"/>
        <v>1</v>
      </c>
      <c r="D69" t="s">
        <v>25</v>
      </c>
      <c r="E69">
        <f t="shared" si="9"/>
        <v>1</v>
      </c>
      <c r="F69">
        <v>1</v>
      </c>
      <c r="G69" t="s">
        <v>20</v>
      </c>
      <c r="H69">
        <f t="shared" si="10"/>
        <v>1</v>
      </c>
      <c r="I69" t="s">
        <v>19</v>
      </c>
      <c r="J69">
        <f t="shared" si="11"/>
        <v>0</v>
      </c>
      <c r="K69">
        <v>10750</v>
      </c>
      <c r="L69">
        <v>0</v>
      </c>
      <c r="M69">
        <v>312000</v>
      </c>
      <c r="N69">
        <v>360</v>
      </c>
      <c r="O69">
        <v>1</v>
      </c>
      <c r="P69" t="s">
        <v>21</v>
      </c>
      <c r="Q69">
        <f t="shared" si="12"/>
        <v>1</v>
      </c>
      <c r="R69">
        <f t="shared" si="13"/>
        <v>0</v>
      </c>
      <c r="S69">
        <f t="shared" si="14"/>
        <v>0</v>
      </c>
      <c r="T69" t="s">
        <v>22</v>
      </c>
      <c r="U69">
        <f t="shared" si="15"/>
        <v>1</v>
      </c>
      <c r="V69">
        <v>9.2827540524852274</v>
      </c>
      <c r="W69">
        <v>0</v>
      </c>
      <c r="X69">
        <v>12.65075846679162</v>
      </c>
      <c r="Y69" t="s">
        <v>23</v>
      </c>
    </row>
    <row r="70" spans="1:25" x14ac:dyDescent="0.3">
      <c r="A70" t="s">
        <v>99</v>
      </c>
      <c r="B70" t="s">
        <v>18</v>
      </c>
      <c r="C70">
        <f t="shared" si="8"/>
        <v>1</v>
      </c>
      <c r="D70" t="s">
        <v>25</v>
      </c>
      <c r="E70">
        <f t="shared" si="9"/>
        <v>1</v>
      </c>
      <c r="F70">
        <v>3</v>
      </c>
      <c r="G70" t="s">
        <v>30</v>
      </c>
      <c r="H70">
        <f t="shared" si="10"/>
        <v>0</v>
      </c>
      <c r="I70" t="s">
        <v>25</v>
      </c>
      <c r="J70">
        <f t="shared" si="11"/>
        <v>1</v>
      </c>
      <c r="K70">
        <v>7100</v>
      </c>
      <c r="L70">
        <v>0</v>
      </c>
      <c r="M70">
        <v>125000</v>
      </c>
      <c r="N70">
        <v>60</v>
      </c>
      <c r="O70">
        <v>1</v>
      </c>
      <c r="P70" t="s">
        <v>21</v>
      </c>
      <c r="Q70">
        <f t="shared" si="12"/>
        <v>1</v>
      </c>
      <c r="R70">
        <f t="shared" si="13"/>
        <v>0</v>
      </c>
      <c r="S70">
        <f t="shared" si="14"/>
        <v>0</v>
      </c>
      <c r="T70" t="s">
        <v>22</v>
      </c>
      <c r="U70">
        <f t="shared" si="15"/>
        <v>1</v>
      </c>
      <c r="V70">
        <v>8.867990898182093</v>
      </c>
      <c r="W70">
        <v>0</v>
      </c>
      <c r="X70">
        <v>11.736069016284437</v>
      </c>
      <c r="Y70" t="s">
        <v>43</v>
      </c>
    </row>
    <row r="71" spans="1:25" x14ac:dyDescent="0.3">
      <c r="A71" t="s">
        <v>100</v>
      </c>
      <c r="B71" t="s">
        <v>48</v>
      </c>
      <c r="C71">
        <f t="shared" si="8"/>
        <v>0</v>
      </c>
      <c r="D71" t="s">
        <v>19</v>
      </c>
      <c r="E71">
        <f t="shared" si="9"/>
        <v>0</v>
      </c>
      <c r="F71">
        <v>0</v>
      </c>
      <c r="G71" t="s">
        <v>20</v>
      </c>
      <c r="H71">
        <f t="shared" si="10"/>
        <v>1</v>
      </c>
      <c r="I71" t="s">
        <v>19</v>
      </c>
      <c r="J71">
        <f t="shared" si="11"/>
        <v>0</v>
      </c>
      <c r="K71">
        <v>4300</v>
      </c>
      <c r="L71">
        <v>0</v>
      </c>
      <c r="M71">
        <v>136000</v>
      </c>
      <c r="N71">
        <v>360</v>
      </c>
      <c r="O71">
        <v>0</v>
      </c>
      <c r="P71" t="s">
        <v>35</v>
      </c>
      <c r="Q71">
        <f t="shared" si="12"/>
        <v>0</v>
      </c>
      <c r="R71">
        <f t="shared" si="13"/>
        <v>1</v>
      </c>
      <c r="S71">
        <f t="shared" si="14"/>
        <v>0</v>
      </c>
      <c r="T71" t="s">
        <v>27</v>
      </c>
      <c r="U71">
        <f t="shared" si="15"/>
        <v>0</v>
      </c>
      <c r="V71">
        <v>8.3666028327837356</v>
      </c>
      <c r="W71">
        <v>0</v>
      </c>
      <c r="X71">
        <v>11.820410164718188</v>
      </c>
      <c r="Y71" t="s">
        <v>23</v>
      </c>
    </row>
    <row r="72" spans="1:25" x14ac:dyDescent="0.3">
      <c r="A72" t="s">
        <v>101</v>
      </c>
      <c r="B72" t="s">
        <v>18</v>
      </c>
      <c r="C72">
        <f t="shared" si="8"/>
        <v>1</v>
      </c>
      <c r="D72" t="s">
        <v>25</v>
      </c>
      <c r="E72">
        <f t="shared" si="9"/>
        <v>1</v>
      </c>
      <c r="F72">
        <v>0</v>
      </c>
      <c r="G72" t="s">
        <v>20</v>
      </c>
      <c r="H72">
        <f t="shared" si="10"/>
        <v>1</v>
      </c>
      <c r="I72" t="s">
        <v>19</v>
      </c>
      <c r="J72">
        <f t="shared" si="11"/>
        <v>0</v>
      </c>
      <c r="K72">
        <v>3208</v>
      </c>
      <c r="L72">
        <v>3066</v>
      </c>
      <c r="M72">
        <v>172000</v>
      </c>
      <c r="N72">
        <v>360</v>
      </c>
      <c r="O72">
        <v>1</v>
      </c>
      <c r="P72" t="s">
        <v>21</v>
      </c>
      <c r="Q72">
        <f t="shared" si="12"/>
        <v>1</v>
      </c>
      <c r="R72">
        <f t="shared" si="13"/>
        <v>0</v>
      </c>
      <c r="S72">
        <f t="shared" si="14"/>
        <v>0</v>
      </c>
      <c r="T72" t="s">
        <v>22</v>
      </c>
      <c r="U72">
        <f t="shared" si="15"/>
        <v>1</v>
      </c>
      <c r="V72">
        <v>8.0737146411098575</v>
      </c>
      <c r="W72">
        <v>8.0284551641142521</v>
      </c>
      <c r="X72">
        <v>12.05524975579559</v>
      </c>
      <c r="Y72" t="s">
        <v>23</v>
      </c>
    </row>
    <row r="73" spans="1:25" x14ac:dyDescent="0.3">
      <c r="A73" t="s">
        <v>102</v>
      </c>
      <c r="B73" t="s">
        <v>18</v>
      </c>
      <c r="C73">
        <f t="shared" si="8"/>
        <v>1</v>
      </c>
      <c r="D73" t="s">
        <v>25</v>
      </c>
      <c r="E73">
        <f t="shared" si="9"/>
        <v>1</v>
      </c>
      <c r="F73">
        <v>2</v>
      </c>
      <c r="G73" t="s">
        <v>30</v>
      </c>
      <c r="H73">
        <f t="shared" si="10"/>
        <v>0</v>
      </c>
      <c r="I73" t="s">
        <v>25</v>
      </c>
      <c r="J73">
        <f t="shared" si="11"/>
        <v>1</v>
      </c>
      <c r="K73">
        <v>1875</v>
      </c>
      <c r="L73">
        <v>1875</v>
      </c>
      <c r="M73">
        <v>97000</v>
      </c>
      <c r="N73">
        <v>360</v>
      </c>
      <c r="O73">
        <v>1</v>
      </c>
      <c r="P73" t="s">
        <v>35</v>
      </c>
      <c r="Q73">
        <f t="shared" si="12"/>
        <v>0</v>
      </c>
      <c r="R73">
        <f t="shared" si="13"/>
        <v>1</v>
      </c>
      <c r="S73">
        <f t="shared" si="14"/>
        <v>0</v>
      </c>
      <c r="T73" t="s">
        <v>22</v>
      </c>
      <c r="U73">
        <f t="shared" si="15"/>
        <v>1</v>
      </c>
      <c r="V73">
        <v>7.53689712956617</v>
      </c>
      <c r="W73">
        <v>7.53689712956617</v>
      </c>
      <c r="X73">
        <v>11.48246625748552</v>
      </c>
      <c r="Y73" t="s">
        <v>23</v>
      </c>
    </row>
    <row r="74" spans="1:25" x14ac:dyDescent="0.3">
      <c r="A74" t="s">
        <v>103</v>
      </c>
      <c r="B74" t="s">
        <v>18</v>
      </c>
      <c r="C74">
        <f t="shared" si="8"/>
        <v>1</v>
      </c>
      <c r="D74" t="s">
        <v>19</v>
      </c>
      <c r="E74">
        <f t="shared" si="9"/>
        <v>0</v>
      </c>
      <c r="F74">
        <v>0</v>
      </c>
      <c r="G74" t="s">
        <v>20</v>
      </c>
      <c r="H74">
        <f t="shared" si="10"/>
        <v>1</v>
      </c>
      <c r="I74" t="s">
        <v>19</v>
      </c>
      <c r="J74">
        <f t="shared" si="11"/>
        <v>0</v>
      </c>
      <c r="K74">
        <v>3500</v>
      </c>
      <c r="L74">
        <v>0</v>
      </c>
      <c r="M74">
        <v>81000</v>
      </c>
      <c r="N74">
        <v>300</v>
      </c>
      <c r="O74">
        <v>1</v>
      </c>
      <c r="P74" t="s">
        <v>35</v>
      </c>
      <c r="Q74">
        <f t="shared" si="12"/>
        <v>0</v>
      </c>
      <c r="R74">
        <f t="shared" si="13"/>
        <v>1</v>
      </c>
      <c r="S74">
        <f t="shared" si="14"/>
        <v>0</v>
      </c>
      <c r="T74" t="s">
        <v>22</v>
      </c>
      <c r="U74">
        <f t="shared" si="15"/>
        <v>1</v>
      </c>
      <c r="V74">
        <v>8.160803920954665</v>
      </c>
      <c r="W74">
        <v>0</v>
      </c>
      <c r="X74">
        <v>11.302204433654575</v>
      </c>
      <c r="Y74" t="s">
        <v>46</v>
      </c>
    </row>
    <row r="75" spans="1:25" x14ac:dyDescent="0.3">
      <c r="A75" t="s">
        <v>104</v>
      </c>
      <c r="B75" t="s">
        <v>18</v>
      </c>
      <c r="C75">
        <f t="shared" si="8"/>
        <v>1</v>
      </c>
      <c r="D75" t="s">
        <v>25</v>
      </c>
      <c r="E75">
        <f t="shared" si="9"/>
        <v>1</v>
      </c>
      <c r="F75">
        <v>3</v>
      </c>
      <c r="G75" t="s">
        <v>30</v>
      </c>
      <c r="H75">
        <f t="shared" si="10"/>
        <v>0</v>
      </c>
      <c r="I75" t="s">
        <v>19</v>
      </c>
      <c r="J75">
        <f t="shared" si="11"/>
        <v>0</v>
      </c>
      <c r="K75">
        <v>4755</v>
      </c>
      <c r="L75">
        <v>0</v>
      </c>
      <c r="M75">
        <v>95000</v>
      </c>
      <c r="N75">
        <v>360</v>
      </c>
      <c r="O75">
        <v>0</v>
      </c>
      <c r="P75" t="s">
        <v>35</v>
      </c>
      <c r="Q75">
        <f t="shared" si="12"/>
        <v>0</v>
      </c>
      <c r="R75">
        <f t="shared" si="13"/>
        <v>1</v>
      </c>
      <c r="S75">
        <f t="shared" si="14"/>
        <v>0</v>
      </c>
      <c r="T75" t="s">
        <v>27</v>
      </c>
      <c r="U75">
        <f t="shared" si="15"/>
        <v>0</v>
      </c>
      <c r="V75">
        <v>8.4671622578106724</v>
      </c>
      <c r="W75">
        <v>0</v>
      </c>
      <c r="X75">
        <v>11.461632170582678</v>
      </c>
      <c r="Y75" t="s">
        <v>23</v>
      </c>
    </row>
    <row r="76" spans="1:25" x14ac:dyDescent="0.3">
      <c r="A76" t="s">
        <v>105</v>
      </c>
      <c r="B76" t="s">
        <v>18</v>
      </c>
      <c r="C76">
        <f t="shared" si="8"/>
        <v>1</v>
      </c>
      <c r="D76" t="s">
        <v>25</v>
      </c>
      <c r="E76">
        <f t="shared" si="9"/>
        <v>1</v>
      </c>
      <c r="F76">
        <v>3</v>
      </c>
      <c r="G76" t="s">
        <v>20</v>
      </c>
      <c r="H76">
        <f t="shared" si="10"/>
        <v>1</v>
      </c>
      <c r="I76" t="s">
        <v>25</v>
      </c>
      <c r="J76">
        <f t="shared" si="11"/>
        <v>1</v>
      </c>
      <c r="K76">
        <v>5266</v>
      </c>
      <c r="L76">
        <v>1774</v>
      </c>
      <c r="M76">
        <v>187000</v>
      </c>
      <c r="N76">
        <v>360</v>
      </c>
      <c r="O76">
        <v>1</v>
      </c>
      <c r="P76" t="s">
        <v>35</v>
      </c>
      <c r="Q76">
        <f t="shared" si="12"/>
        <v>0</v>
      </c>
      <c r="R76">
        <f t="shared" si="13"/>
        <v>1</v>
      </c>
      <c r="S76">
        <f t="shared" si="14"/>
        <v>0</v>
      </c>
      <c r="T76" t="s">
        <v>22</v>
      </c>
      <c r="U76">
        <f t="shared" si="15"/>
        <v>1</v>
      </c>
      <c r="V76">
        <v>8.5692162194833887</v>
      </c>
      <c r="W76">
        <v>7.4815557019095156</v>
      </c>
      <c r="X76">
        <v>12.138863895836725</v>
      </c>
      <c r="Y76" t="s">
        <v>23</v>
      </c>
    </row>
    <row r="77" spans="1:25" x14ac:dyDescent="0.3">
      <c r="A77" t="s">
        <v>106</v>
      </c>
      <c r="B77" t="s">
        <v>18</v>
      </c>
      <c r="C77">
        <f t="shared" si="8"/>
        <v>1</v>
      </c>
      <c r="D77" t="s">
        <v>19</v>
      </c>
      <c r="E77">
        <f t="shared" si="9"/>
        <v>0</v>
      </c>
      <c r="F77">
        <v>0</v>
      </c>
      <c r="G77" t="s">
        <v>20</v>
      </c>
      <c r="H77">
        <f t="shared" si="10"/>
        <v>1</v>
      </c>
      <c r="I77" t="s">
        <v>19</v>
      </c>
      <c r="J77">
        <f t="shared" si="11"/>
        <v>0</v>
      </c>
      <c r="K77">
        <v>3750</v>
      </c>
      <c r="L77">
        <v>0</v>
      </c>
      <c r="M77">
        <v>113000</v>
      </c>
      <c r="N77">
        <v>480</v>
      </c>
      <c r="O77">
        <v>1</v>
      </c>
      <c r="P77" t="s">
        <v>21</v>
      </c>
      <c r="Q77">
        <f t="shared" si="12"/>
        <v>1</v>
      </c>
      <c r="R77">
        <f t="shared" si="13"/>
        <v>0</v>
      </c>
      <c r="S77">
        <f t="shared" si="14"/>
        <v>0</v>
      </c>
      <c r="T77" t="s">
        <v>27</v>
      </c>
      <c r="U77">
        <f t="shared" si="15"/>
        <v>0</v>
      </c>
      <c r="V77">
        <v>8.2297777500818867</v>
      </c>
      <c r="W77">
        <v>0</v>
      </c>
      <c r="X77">
        <v>11.635143097694478</v>
      </c>
      <c r="Y77" t="s">
        <v>23</v>
      </c>
    </row>
    <row r="78" spans="1:25" x14ac:dyDescent="0.3">
      <c r="A78" t="s">
        <v>107</v>
      </c>
      <c r="B78" t="s">
        <v>18</v>
      </c>
      <c r="C78">
        <f t="shared" si="8"/>
        <v>1</v>
      </c>
      <c r="D78" t="s">
        <v>19</v>
      </c>
      <c r="E78">
        <f t="shared" si="9"/>
        <v>0</v>
      </c>
      <c r="F78">
        <v>0</v>
      </c>
      <c r="G78" t="s">
        <v>20</v>
      </c>
      <c r="H78">
        <f t="shared" si="10"/>
        <v>1</v>
      </c>
      <c r="I78" t="s">
        <v>19</v>
      </c>
      <c r="J78">
        <f t="shared" si="11"/>
        <v>0</v>
      </c>
      <c r="K78">
        <v>3750</v>
      </c>
      <c r="L78">
        <v>4750</v>
      </c>
      <c r="M78">
        <v>176000</v>
      </c>
      <c r="N78">
        <v>360</v>
      </c>
      <c r="O78">
        <v>1</v>
      </c>
      <c r="P78" t="s">
        <v>21</v>
      </c>
      <c r="Q78">
        <f t="shared" si="12"/>
        <v>1</v>
      </c>
      <c r="R78">
        <f t="shared" si="13"/>
        <v>0</v>
      </c>
      <c r="S78">
        <f t="shared" si="14"/>
        <v>0</v>
      </c>
      <c r="T78" t="s">
        <v>27</v>
      </c>
      <c r="U78">
        <f t="shared" si="15"/>
        <v>0</v>
      </c>
      <c r="V78">
        <v>8.2297777500818867</v>
      </c>
      <c r="W78">
        <v>8.4661104011869206</v>
      </c>
      <c r="X78">
        <v>12.078239274020289</v>
      </c>
      <c r="Y78" t="s">
        <v>23</v>
      </c>
    </row>
    <row r="79" spans="1:25" x14ac:dyDescent="0.3">
      <c r="A79" t="s">
        <v>108</v>
      </c>
      <c r="B79" t="s">
        <v>18</v>
      </c>
      <c r="C79">
        <f t="shared" si="8"/>
        <v>1</v>
      </c>
      <c r="D79" t="s">
        <v>25</v>
      </c>
      <c r="E79">
        <f t="shared" si="9"/>
        <v>1</v>
      </c>
      <c r="F79">
        <v>1</v>
      </c>
      <c r="G79" t="s">
        <v>20</v>
      </c>
      <c r="H79">
        <f t="shared" si="10"/>
        <v>1</v>
      </c>
      <c r="I79" t="s">
        <v>25</v>
      </c>
      <c r="J79">
        <f t="shared" si="11"/>
        <v>1</v>
      </c>
      <c r="K79">
        <v>1000</v>
      </c>
      <c r="L79">
        <v>3022</v>
      </c>
      <c r="M79">
        <v>110000</v>
      </c>
      <c r="N79">
        <v>360</v>
      </c>
      <c r="O79">
        <v>1</v>
      </c>
      <c r="P79" t="s">
        <v>21</v>
      </c>
      <c r="Q79">
        <f t="shared" si="12"/>
        <v>1</v>
      </c>
      <c r="R79">
        <f t="shared" si="13"/>
        <v>0</v>
      </c>
      <c r="S79">
        <f t="shared" si="14"/>
        <v>0</v>
      </c>
      <c r="T79" t="s">
        <v>27</v>
      </c>
      <c r="U79">
        <f t="shared" si="15"/>
        <v>0</v>
      </c>
      <c r="V79">
        <v>6.9087547793152204</v>
      </c>
      <c r="W79">
        <v>8.0140049947794587</v>
      </c>
      <c r="X79">
        <v>11.608235644774552</v>
      </c>
      <c r="Y79" t="s">
        <v>23</v>
      </c>
    </row>
    <row r="80" spans="1:25" x14ac:dyDescent="0.3">
      <c r="A80" t="s">
        <v>109</v>
      </c>
      <c r="B80" t="s">
        <v>18</v>
      </c>
      <c r="C80">
        <f t="shared" si="8"/>
        <v>1</v>
      </c>
      <c r="D80" t="s">
        <v>25</v>
      </c>
      <c r="E80">
        <f t="shared" si="9"/>
        <v>1</v>
      </c>
      <c r="F80">
        <v>3</v>
      </c>
      <c r="G80" t="s">
        <v>20</v>
      </c>
      <c r="H80">
        <f t="shared" si="10"/>
        <v>1</v>
      </c>
      <c r="I80" t="s">
        <v>19</v>
      </c>
      <c r="J80">
        <f t="shared" si="11"/>
        <v>0</v>
      </c>
      <c r="K80">
        <v>3167</v>
      </c>
      <c r="L80">
        <v>4000</v>
      </c>
      <c r="M80">
        <v>180000</v>
      </c>
      <c r="N80">
        <v>300</v>
      </c>
      <c r="O80">
        <v>0</v>
      </c>
      <c r="P80" t="s">
        <v>35</v>
      </c>
      <c r="Q80">
        <f t="shared" si="12"/>
        <v>0</v>
      </c>
      <c r="R80">
        <f t="shared" si="13"/>
        <v>1</v>
      </c>
      <c r="S80">
        <f t="shared" si="14"/>
        <v>0</v>
      </c>
      <c r="T80" t="s">
        <v>27</v>
      </c>
      <c r="U80">
        <f t="shared" si="15"/>
        <v>0</v>
      </c>
      <c r="V80">
        <v>8.0608557529343159</v>
      </c>
      <c r="W80">
        <v>8.2942996088572354</v>
      </c>
      <c r="X80">
        <v>12.100712129872347</v>
      </c>
      <c r="Y80" t="s">
        <v>46</v>
      </c>
    </row>
    <row r="81" spans="1:25" x14ac:dyDescent="0.3">
      <c r="A81" t="s">
        <v>110</v>
      </c>
      <c r="B81" t="s">
        <v>18</v>
      </c>
      <c r="C81">
        <f t="shared" si="8"/>
        <v>1</v>
      </c>
      <c r="D81" t="s">
        <v>25</v>
      </c>
      <c r="E81">
        <f t="shared" si="9"/>
        <v>1</v>
      </c>
      <c r="F81">
        <v>3</v>
      </c>
      <c r="G81" t="s">
        <v>30</v>
      </c>
      <c r="H81">
        <f t="shared" si="10"/>
        <v>0</v>
      </c>
      <c r="I81" t="s">
        <v>25</v>
      </c>
      <c r="J81">
        <f t="shared" si="11"/>
        <v>1</v>
      </c>
      <c r="K81">
        <v>3333</v>
      </c>
      <c r="L81">
        <v>2166</v>
      </c>
      <c r="M81">
        <v>130000</v>
      </c>
      <c r="N81">
        <v>360</v>
      </c>
      <c r="O81">
        <v>1</v>
      </c>
      <c r="P81" t="s">
        <v>35</v>
      </c>
      <c r="Q81">
        <f t="shared" si="12"/>
        <v>0</v>
      </c>
      <c r="R81">
        <f t="shared" si="13"/>
        <v>1</v>
      </c>
      <c r="S81">
        <f t="shared" si="14"/>
        <v>0</v>
      </c>
      <c r="T81" t="s">
        <v>22</v>
      </c>
      <c r="U81">
        <f t="shared" si="15"/>
        <v>1</v>
      </c>
      <c r="V81">
        <v>8.1119280633107387</v>
      </c>
      <c r="W81">
        <v>7.6810990015363592</v>
      </c>
      <c r="X81">
        <v>11.77528972943772</v>
      </c>
      <c r="Y81" t="s">
        <v>23</v>
      </c>
    </row>
    <row r="82" spans="1:25" x14ac:dyDescent="0.3">
      <c r="A82" t="s">
        <v>111</v>
      </c>
      <c r="B82" t="s">
        <v>48</v>
      </c>
      <c r="C82">
        <f t="shared" si="8"/>
        <v>0</v>
      </c>
      <c r="D82" t="s">
        <v>19</v>
      </c>
      <c r="E82">
        <f t="shared" si="9"/>
        <v>0</v>
      </c>
      <c r="F82">
        <v>0</v>
      </c>
      <c r="G82" t="s">
        <v>20</v>
      </c>
      <c r="H82">
        <f t="shared" si="10"/>
        <v>1</v>
      </c>
      <c r="I82" t="s">
        <v>19</v>
      </c>
      <c r="J82">
        <f t="shared" si="11"/>
        <v>0</v>
      </c>
      <c r="K82">
        <v>3846</v>
      </c>
      <c r="L82">
        <v>0</v>
      </c>
      <c r="M82">
        <v>111000</v>
      </c>
      <c r="N82">
        <v>360</v>
      </c>
      <c r="O82">
        <v>1</v>
      </c>
      <c r="P82" t="s">
        <v>35</v>
      </c>
      <c r="Q82">
        <f t="shared" si="12"/>
        <v>0</v>
      </c>
      <c r="R82">
        <f t="shared" si="13"/>
        <v>1</v>
      </c>
      <c r="S82">
        <f t="shared" si="14"/>
        <v>0</v>
      </c>
      <c r="T82" t="s">
        <v>22</v>
      </c>
      <c r="U82">
        <f t="shared" si="15"/>
        <v>1</v>
      </c>
      <c r="V82">
        <v>8.2550489027522946</v>
      </c>
      <c r="W82">
        <v>0</v>
      </c>
      <c r="X82">
        <v>11.617285480294472</v>
      </c>
      <c r="Y82" t="s">
        <v>23</v>
      </c>
    </row>
    <row r="83" spans="1:25" x14ac:dyDescent="0.3">
      <c r="A83" t="s">
        <v>112</v>
      </c>
      <c r="B83" t="s">
        <v>18</v>
      </c>
      <c r="C83">
        <f t="shared" si="8"/>
        <v>1</v>
      </c>
      <c r="D83" t="s">
        <v>25</v>
      </c>
      <c r="E83">
        <f t="shared" si="9"/>
        <v>1</v>
      </c>
      <c r="F83">
        <v>1</v>
      </c>
      <c r="G83" t="s">
        <v>20</v>
      </c>
      <c r="H83">
        <f t="shared" si="10"/>
        <v>1</v>
      </c>
      <c r="I83" t="s">
        <v>25</v>
      </c>
      <c r="J83">
        <f t="shared" si="11"/>
        <v>1</v>
      </c>
      <c r="K83">
        <v>2395</v>
      </c>
      <c r="L83">
        <v>0</v>
      </c>
      <c r="M83">
        <v>128000</v>
      </c>
      <c r="N83">
        <v>360</v>
      </c>
      <c r="O83">
        <v>1</v>
      </c>
      <c r="P83" t="s">
        <v>35</v>
      </c>
      <c r="Q83">
        <f t="shared" si="12"/>
        <v>0</v>
      </c>
      <c r="R83">
        <f t="shared" si="13"/>
        <v>1</v>
      </c>
      <c r="S83">
        <f t="shared" si="14"/>
        <v>0</v>
      </c>
      <c r="T83" t="s">
        <v>22</v>
      </c>
      <c r="U83">
        <f t="shared" si="15"/>
        <v>1</v>
      </c>
      <c r="V83">
        <v>7.78155595923534</v>
      </c>
      <c r="W83">
        <v>0</v>
      </c>
      <c r="X83">
        <v>11.759785542901755</v>
      </c>
      <c r="Y83" t="s">
        <v>23</v>
      </c>
    </row>
    <row r="84" spans="1:25" x14ac:dyDescent="0.3">
      <c r="A84" t="s">
        <v>113</v>
      </c>
      <c r="B84" t="s">
        <v>48</v>
      </c>
      <c r="C84">
        <f t="shared" si="8"/>
        <v>0</v>
      </c>
      <c r="D84" t="s">
        <v>25</v>
      </c>
      <c r="E84">
        <f t="shared" si="9"/>
        <v>1</v>
      </c>
      <c r="F84">
        <v>2</v>
      </c>
      <c r="G84" t="s">
        <v>20</v>
      </c>
      <c r="H84">
        <f t="shared" si="10"/>
        <v>1</v>
      </c>
      <c r="I84" t="s">
        <v>19</v>
      </c>
      <c r="J84">
        <f t="shared" si="11"/>
        <v>0</v>
      </c>
      <c r="K84">
        <v>1378</v>
      </c>
      <c r="L84">
        <v>1881</v>
      </c>
      <c r="M84">
        <v>167000</v>
      </c>
      <c r="N84">
        <v>360</v>
      </c>
      <c r="O84">
        <v>1</v>
      </c>
      <c r="P84" t="s">
        <v>21</v>
      </c>
      <c r="Q84">
        <f t="shared" si="12"/>
        <v>1</v>
      </c>
      <c r="R84">
        <f t="shared" si="13"/>
        <v>0</v>
      </c>
      <c r="S84">
        <f t="shared" si="14"/>
        <v>0</v>
      </c>
      <c r="T84" t="s">
        <v>27</v>
      </c>
      <c r="U84">
        <f t="shared" si="15"/>
        <v>0</v>
      </c>
      <c r="V84">
        <v>7.2291138777933019</v>
      </c>
      <c r="W84">
        <v>7.5400903201453247</v>
      </c>
      <c r="X84">
        <v>12.025749091398891</v>
      </c>
      <c r="Y84" t="s">
        <v>23</v>
      </c>
    </row>
    <row r="85" spans="1:25" x14ac:dyDescent="0.3">
      <c r="A85" t="s">
        <v>114</v>
      </c>
      <c r="B85" t="s">
        <v>18</v>
      </c>
      <c r="C85">
        <f t="shared" si="8"/>
        <v>1</v>
      </c>
      <c r="D85" t="s">
        <v>25</v>
      </c>
      <c r="E85">
        <f t="shared" si="9"/>
        <v>1</v>
      </c>
      <c r="F85">
        <v>0</v>
      </c>
      <c r="G85" t="s">
        <v>20</v>
      </c>
      <c r="H85">
        <f t="shared" si="10"/>
        <v>1</v>
      </c>
      <c r="I85" t="s">
        <v>19</v>
      </c>
      <c r="J85">
        <f t="shared" si="11"/>
        <v>0</v>
      </c>
      <c r="K85">
        <v>6000</v>
      </c>
      <c r="L85">
        <v>2250</v>
      </c>
      <c r="M85">
        <v>265000</v>
      </c>
      <c r="N85">
        <v>360</v>
      </c>
      <c r="O85">
        <v>1</v>
      </c>
      <c r="P85" t="s">
        <v>35</v>
      </c>
      <c r="Q85">
        <f t="shared" si="12"/>
        <v>0</v>
      </c>
      <c r="R85">
        <f t="shared" si="13"/>
        <v>1</v>
      </c>
      <c r="S85">
        <f t="shared" si="14"/>
        <v>0</v>
      </c>
      <c r="T85" t="s">
        <v>27</v>
      </c>
      <c r="U85">
        <f t="shared" si="15"/>
        <v>0</v>
      </c>
      <c r="V85">
        <v>8.6996814009895136</v>
      </c>
      <c r="W85">
        <v>7.7191298409067324</v>
      </c>
      <c r="X85">
        <v>12.487485104968359</v>
      </c>
      <c r="Y85" t="s">
        <v>23</v>
      </c>
    </row>
    <row r="86" spans="1:25" x14ac:dyDescent="0.3">
      <c r="A86" t="s">
        <v>115</v>
      </c>
      <c r="B86" t="s">
        <v>18</v>
      </c>
      <c r="C86">
        <f t="shared" si="8"/>
        <v>1</v>
      </c>
      <c r="D86" t="s">
        <v>25</v>
      </c>
      <c r="E86">
        <f t="shared" si="9"/>
        <v>1</v>
      </c>
      <c r="F86">
        <v>1</v>
      </c>
      <c r="G86" t="s">
        <v>20</v>
      </c>
      <c r="H86">
        <f t="shared" si="10"/>
        <v>1</v>
      </c>
      <c r="I86" t="s">
        <v>19</v>
      </c>
      <c r="J86">
        <f t="shared" si="11"/>
        <v>0</v>
      </c>
      <c r="K86">
        <v>3988</v>
      </c>
      <c r="L86">
        <v>0</v>
      </c>
      <c r="M86">
        <v>50000</v>
      </c>
      <c r="N86">
        <v>240</v>
      </c>
      <c r="O86">
        <v>1</v>
      </c>
      <c r="P86" t="s">
        <v>21</v>
      </c>
      <c r="Q86">
        <f t="shared" si="12"/>
        <v>1</v>
      </c>
      <c r="R86">
        <f t="shared" si="13"/>
        <v>0</v>
      </c>
      <c r="S86">
        <f t="shared" si="14"/>
        <v>0</v>
      </c>
      <c r="T86" t="s">
        <v>22</v>
      </c>
      <c r="U86">
        <f t="shared" si="15"/>
        <v>1</v>
      </c>
      <c r="V86">
        <v>8.2912958519054065</v>
      </c>
      <c r="W86">
        <v>0</v>
      </c>
      <c r="X86">
        <v>10.819778284410283</v>
      </c>
      <c r="Y86" t="s">
        <v>46</v>
      </c>
    </row>
    <row r="87" spans="1:25" x14ac:dyDescent="0.3">
      <c r="A87" t="s">
        <v>116</v>
      </c>
      <c r="B87" t="s">
        <v>18</v>
      </c>
      <c r="C87">
        <f t="shared" si="8"/>
        <v>1</v>
      </c>
      <c r="D87" t="s">
        <v>19</v>
      </c>
      <c r="E87">
        <f t="shared" si="9"/>
        <v>0</v>
      </c>
      <c r="F87">
        <v>0</v>
      </c>
      <c r="G87" t="s">
        <v>20</v>
      </c>
      <c r="H87">
        <f t="shared" si="10"/>
        <v>1</v>
      </c>
      <c r="I87" t="s">
        <v>19</v>
      </c>
      <c r="J87">
        <f t="shared" si="11"/>
        <v>0</v>
      </c>
      <c r="K87">
        <v>2366</v>
      </c>
      <c r="L87">
        <v>2531</v>
      </c>
      <c r="M87">
        <v>136000</v>
      </c>
      <c r="N87">
        <v>360</v>
      </c>
      <c r="O87">
        <v>1</v>
      </c>
      <c r="P87" t="s">
        <v>35</v>
      </c>
      <c r="Q87">
        <f t="shared" si="12"/>
        <v>0</v>
      </c>
      <c r="R87">
        <f t="shared" si="13"/>
        <v>1</v>
      </c>
      <c r="S87">
        <f t="shared" si="14"/>
        <v>0</v>
      </c>
      <c r="T87" t="s">
        <v>22</v>
      </c>
      <c r="U87">
        <f t="shared" si="15"/>
        <v>1</v>
      </c>
      <c r="V87">
        <v>7.7693786095139838</v>
      </c>
      <c r="W87">
        <v>7.8367647832640666</v>
      </c>
      <c r="X87">
        <v>11.820410164718188</v>
      </c>
      <c r="Y87" t="s">
        <v>23</v>
      </c>
    </row>
    <row r="88" spans="1:25" x14ac:dyDescent="0.3">
      <c r="A88" t="s">
        <v>117</v>
      </c>
      <c r="B88" t="s">
        <v>18</v>
      </c>
      <c r="C88">
        <f t="shared" si="8"/>
        <v>1</v>
      </c>
      <c r="D88" t="s">
        <v>25</v>
      </c>
      <c r="E88">
        <f t="shared" si="9"/>
        <v>1</v>
      </c>
      <c r="F88">
        <v>2</v>
      </c>
      <c r="G88" t="s">
        <v>30</v>
      </c>
      <c r="H88">
        <f t="shared" si="10"/>
        <v>0</v>
      </c>
      <c r="I88" t="s">
        <v>19</v>
      </c>
      <c r="J88">
        <f t="shared" si="11"/>
        <v>0</v>
      </c>
      <c r="K88">
        <v>3333</v>
      </c>
      <c r="L88">
        <v>2000</v>
      </c>
      <c r="M88">
        <v>99000</v>
      </c>
      <c r="N88">
        <v>360</v>
      </c>
      <c r="O88">
        <v>1</v>
      </c>
      <c r="P88" t="s">
        <v>35</v>
      </c>
      <c r="Q88">
        <f t="shared" si="12"/>
        <v>0</v>
      </c>
      <c r="R88">
        <f t="shared" si="13"/>
        <v>1</v>
      </c>
      <c r="S88">
        <f t="shared" si="14"/>
        <v>0</v>
      </c>
      <c r="T88" t="s">
        <v>22</v>
      </c>
      <c r="U88">
        <f t="shared" si="15"/>
        <v>1</v>
      </c>
      <c r="V88">
        <v>8.1119280633107387</v>
      </c>
      <c r="W88">
        <v>7.6014023345837334</v>
      </c>
      <c r="X88">
        <v>11.502875129116727</v>
      </c>
      <c r="Y88" t="s">
        <v>23</v>
      </c>
    </row>
    <row r="89" spans="1:25" x14ac:dyDescent="0.3">
      <c r="A89" t="s">
        <v>118</v>
      </c>
      <c r="B89" t="s">
        <v>18</v>
      </c>
      <c r="C89">
        <f t="shared" si="8"/>
        <v>1</v>
      </c>
      <c r="D89" t="s">
        <v>25</v>
      </c>
      <c r="E89">
        <f t="shared" si="9"/>
        <v>1</v>
      </c>
      <c r="F89">
        <v>0</v>
      </c>
      <c r="G89" t="s">
        <v>20</v>
      </c>
      <c r="H89">
        <f t="shared" si="10"/>
        <v>1</v>
      </c>
      <c r="I89" t="s">
        <v>19</v>
      </c>
      <c r="J89">
        <f t="shared" si="11"/>
        <v>0</v>
      </c>
      <c r="K89">
        <v>2500</v>
      </c>
      <c r="L89">
        <v>2118</v>
      </c>
      <c r="M89">
        <v>104000</v>
      </c>
      <c r="N89">
        <v>360</v>
      </c>
      <c r="O89">
        <v>1</v>
      </c>
      <c r="P89" t="s">
        <v>35</v>
      </c>
      <c r="Q89">
        <f t="shared" si="12"/>
        <v>0</v>
      </c>
      <c r="R89">
        <f t="shared" si="13"/>
        <v>1</v>
      </c>
      <c r="S89">
        <f t="shared" si="14"/>
        <v>0</v>
      </c>
      <c r="T89" t="s">
        <v>22</v>
      </c>
      <c r="U89">
        <f t="shared" si="15"/>
        <v>1</v>
      </c>
      <c r="V89">
        <v>7.8244459308776193</v>
      </c>
      <c r="W89">
        <v>7.6586995582683004</v>
      </c>
      <c r="X89">
        <v>11.552146178123509</v>
      </c>
      <c r="Y89" t="s">
        <v>23</v>
      </c>
    </row>
    <row r="90" spans="1:25" x14ac:dyDescent="0.3">
      <c r="A90" t="s">
        <v>119</v>
      </c>
      <c r="B90" t="s">
        <v>18</v>
      </c>
      <c r="C90">
        <f t="shared" si="8"/>
        <v>1</v>
      </c>
      <c r="D90" t="s">
        <v>19</v>
      </c>
      <c r="E90">
        <f t="shared" si="9"/>
        <v>0</v>
      </c>
      <c r="F90">
        <v>0</v>
      </c>
      <c r="G90" t="s">
        <v>20</v>
      </c>
      <c r="H90">
        <f t="shared" si="10"/>
        <v>1</v>
      </c>
      <c r="I90" t="s">
        <v>19</v>
      </c>
      <c r="J90">
        <f t="shared" si="11"/>
        <v>0</v>
      </c>
      <c r="K90">
        <v>8566</v>
      </c>
      <c r="L90">
        <v>0</v>
      </c>
      <c r="M90">
        <v>210000</v>
      </c>
      <c r="N90">
        <v>360</v>
      </c>
      <c r="O90">
        <v>1</v>
      </c>
      <c r="P90" t="s">
        <v>21</v>
      </c>
      <c r="Q90">
        <f t="shared" si="12"/>
        <v>1</v>
      </c>
      <c r="R90">
        <f t="shared" si="13"/>
        <v>0</v>
      </c>
      <c r="S90">
        <f t="shared" si="14"/>
        <v>0</v>
      </c>
      <c r="T90" t="s">
        <v>22</v>
      </c>
      <c r="U90">
        <f t="shared" si="15"/>
        <v>1</v>
      </c>
      <c r="V90">
        <v>9.0556728919640435</v>
      </c>
      <c r="W90">
        <v>0</v>
      </c>
      <c r="X90">
        <v>12.254862809699606</v>
      </c>
      <c r="Y90" t="s">
        <v>23</v>
      </c>
    </row>
    <row r="91" spans="1:25" x14ac:dyDescent="0.3">
      <c r="A91" t="s">
        <v>120</v>
      </c>
      <c r="B91" t="s">
        <v>18</v>
      </c>
      <c r="C91">
        <f t="shared" si="8"/>
        <v>1</v>
      </c>
      <c r="D91" t="s">
        <v>25</v>
      </c>
      <c r="E91">
        <f t="shared" si="9"/>
        <v>1</v>
      </c>
      <c r="F91">
        <v>0</v>
      </c>
      <c r="G91" t="s">
        <v>20</v>
      </c>
      <c r="H91">
        <f t="shared" si="10"/>
        <v>1</v>
      </c>
      <c r="I91" t="s">
        <v>19</v>
      </c>
      <c r="J91">
        <f t="shared" si="11"/>
        <v>0</v>
      </c>
      <c r="K91">
        <v>5695</v>
      </c>
      <c r="L91">
        <v>4167</v>
      </c>
      <c r="M91">
        <v>175000</v>
      </c>
      <c r="N91">
        <v>360</v>
      </c>
      <c r="O91">
        <v>1</v>
      </c>
      <c r="P91" t="s">
        <v>35</v>
      </c>
      <c r="Q91">
        <f t="shared" si="12"/>
        <v>0</v>
      </c>
      <c r="R91">
        <f t="shared" si="13"/>
        <v>1</v>
      </c>
      <c r="S91">
        <f t="shared" si="14"/>
        <v>0</v>
      </c>
      <c r="T91" t="s">
        <v>22</v>
      </c>
      <c r="U91">
        <f t="shared" si="15"/>
        <v>1</v>
      </c>
      <c r="V91">
        <v>8.647519453091812</v>
      </c>
      <c r="W91">
        <v>8.3351915834332022</v>
      </c>
      <c r="X91">
        <v>12.072541252905651</v>
      </c>
      <c r="Y91" t="s">
        <v>23</v>
      </c>
    </row>
    <row r="92" spans="1:25" x14ac:dyDescent="0.3">
      <c r="A92" t="s">
        <v>121</v>
      </c>
      <c r="B92" t="s">
        <v>18</v>
      </c>
      <c r="C92">
        <f t="shared" si="8"/>
        <v>1</v>
      </c>
      <c r="D92" t="s">
        <v>25</v>
      </c>
      <c r="E92">
        <f t="shared" si="9"/>
        <v>1</v>
      </c>
      <c r="F92">
        <v>0</v>
      </c>
      <c r="G92" t="s">
        <v>20</v>
      </c>
      <c r="H92">
        <f t="shared" si="10"/>
        <v>1</v>
      </c>
      <c r="I92" t="s">
        <v>19</v>
      </c>
      <c r="J92">
        <f t="shared" si="11"/>
        <v>0</v>
      </c>
      <c r="K92">
        <v>2958</v>
      </c>
      <c r="L92">
        <v>2900</v>
      </c>
      <c r="M92">
        <v>131000</v>
      </c>
      <c r="N92">
        <v>360</v>
      </c>
      <c r="O92">
        <v>1</v>
      </c>
      <c r="P92" t="s">
        <v>35</v>
      </c>
      <c r="Q92">
        <f t="shared" si="12"/>
        <v>0</v>
      </c>
      <c r="R92">
        <f t="shared" si="13"/>
        <v>1</v>
      </c>
      <c r="S92">
        <f t="shared" si="14"/>
        <v>0</v>
      </c>
      <c r="T92" t="s">
        <v>22</v>
      </c>
      <c r="U92">
        <f t="shared" si="15"/>
        <v>1</v>
      </c>
      <c r="V92">
        <v>7.9926066524002097</v>
      </c>
      <c r="W92">
        <v>7.9728107841214042</v>
      </c>
      <c r="X92">
        <v>11.782952602183288</v>
      </c>
      <c r="Y92" t="s">
        <v>23</v>
      </c>
    </row>
    <row r="93" spans="1:25" x14ac:dyDescent="0.3">
      <c r="A93" t="s">
        <v>122</v>
      </c>
      <c r="B93" t="s">
        <v>18</v>
      </c>
      <c r="C93">
        <f t="shared" si="8"/>
        <v>1</v>
      </c>
      <c r="D93" t="s">
        <v>25</v>
      </c>
      <c r="E93">
        <f t="shared" si="9"/>
        <v>1</v>
      </c>
      <c r="F93">
        <v>2</v>
      </c>
      <c r="G93" t="s">
        <v>20</v>
      </c>
      <c r="H93">
        <f t="shared" si="10"/>
        <v>1</v>
      </c>
      <c r="I93" t="s">
        <v>19</v>
      </c>
      <c r="J93">
        <f t="shared" si="11"/>
        <v>0</v>
      </c>
      <c r="K93">
        <v>6250</v>
      </c>
      <c r="L93">
        <v>5654</v>
      </c>
      <c r="M93">
        <v>188000</v>
      </c>
      <c r="N93">
        <v>180</v>
      </c>
      <c r="O93">
        <v>1</v>
      </c>
      <c r="P93" t="s">
        <v>35</v>
      </c>
      <c r="Q93">
        <f t="shared" si="12"/>
        <v>0</v>
      </c>
      <c r="R93">
        <f t="shared" si="13"/>
        <v>1</v>
      </c>
      <c r="S93">
        <f t="shared" si="14"/>
        <v>0</v>
      </c>
      <c r="T93" t="s">
        <v>22</v>
      </c>
      <c r="U93">
        <f t="shared" si="15"/>
        <v>1</v>
      </c>
      <c r="V93">
        <v>8.740496729931813</v>
      </c>
      <c r="W93">
        <v>8.6402953885502214</v>
      </c>
      <c r="X93">
        <v>12.144197241812087</v>
      </c>
      <c r="Y93" t="s">
        <v>46</v>
      </c>
    </row>
    <row r="94" spans="1:25" x14ac:dyDescent="0.3">
      <c r="A94" t="s">
        <v>123</v>
      </c>
      <c r="B94" t="s">
        <v>18</v>
      </c>
      <c r="C94">
        <f t="shared" si="8"/>
        <v>1</v>
      </c>
      <c r="D94" t="s">
        <v>25</v>
      </c>
      <c r="E94">
        <f t="shared" si="9"/>
        <v>1</v>
      </c>
      <c r="F94">
        <v>2</v>
      </c>
      <c r="G94" t="s">
        <v>30</v>
      </c>
      <c r="H94">
        <f t="shared" si="10"/>
        <v>0</v>
      </c>
      <c r="I94" t="s">
        <v>19</v>
      </c>
      <c r="J94">
        <f t="shared" si="11"/>
        <v>0</v>
      </c>
      <c r="K94">
        <v>3273</v>
      </c>
      <c r="L94">
        <v>1820</v>
      </c>
      <c r="M94">
        <v>81000</v>
      </c>
      <c r="N94">
        <v>360</v>
      </c>
      <c r="O94">
        <v>1</v>
      </c>
      <c r="P94" t="s">
        <v>21</v>
      </c>
      <c r="Q94">
        <f t="shared" si="12"/>
        <v>1</v>
      </c>
      <c r="R94">
        <f t="shared" si="13"/>
        <v>0</v>
      </c>
      <c r="S94">
        <f t="shared" si="14"/>
        <v>0</v>
      </c>
      <c r="T94" t="s">
        <v>22</v>
      </c>
      <c r="U94">
        <f t="shared" si="15"/>
        <v>1</v>
      </c>
      <c r="V94">
        <v>8.0937677579310794</v>
      </c>
      <c r="W94">
        <v>7.5071410797276084</v>
      </c>
      <c r="X94">
        <v>11.302204433654575</v>
      </c>
      <c r="Y94" t="s">
        <v>23</v>
      </c>
    </row>
    <row r="95" spans="1:25" x14ac:dyDescent="0.3">
      <c r="A95" t="s">
        <v>124</v>
      </c>
      <c r="B95" t="s">
        <v>18</v>
      </c>
      <c r="C95">
        <f t="shared" si="8"/>
        <v>1</v>
      </c>
      <c r="D95" t="s">
        <v>19</v>
      </c>
      <c r="E95">
        <f t="shared" si="9"/>
        <v>0</v>
      </c>
      <c r="F95">
        <v>0</v>
      </c>
      <c r="G95" t="s">
        <v>20</v>
      </c>
      <c r="H95">
        <f t="shared" si="10"/>
        <v>1</v>
      </c>
      <c r="I95" t="s">
        <v>19</v>
      </c>
      <c r="J95">
        <f t="shared" si="11"/>
        <v>0</v>
      </c>
      <c r="K95">
        <v>4133</v>
      </c>
      <c r="L95">
        <v>0</v>
      </c>
      <c r="M95">
        <v>122000</v>
      </c>
      <c r="N95">
        <v>360</v>
      </c>
      <c r="O95">
        <v>1</v>
      </c>
      <c r="P95" t="s">
        <v>35</v>
      </c>
      <c r="Q95">
        <f t="shared" si="12"/>
        <v>0</v>
      </c>
      <c r="R95">
        <f t="shared" si="13"/>
        <v>1</v>
      </c>
      <c r="S95">
        <f t="shared" si="14"/>
        <v>0</v>
      </c>
      <c r="T95" t="s">
        <v>22</v>
      </c>
      <c r="U95">
        <f t="shared" si="15"/>
        <v>1</v>
      </c>
      <c r="V95">
        <v>8.3270007402417132</v>
      </c>
      <c r="W95">
        <v>0</v>
      </c>
      <c r="X95">
        <v>11.711776323715394</v>
      </c>
      <c r="Y95" t="s">
        <v>23</v>
      </c>
    </row>
    <row r="96" spans="1:25" x14ac:dyDescent="0.3">
      <c r="A96" t="s">
        <v>125</v>
      </c>
      <c r="B96" t="s">
        <v>18</v>
      </c>
      <c r="C96">
        <f t="shared" si="8"/>
        <v>1</v>
      </c>
      <c r="D96" t="s">
        <v>19</v>
      </c>
      <c r="E96">
        <f t="shared" si="9"/>
        <v>0</v>
      </c>
      <c r="F96">
        <v>0</v>
      </c>
      <c r="G96" t="s">
        <v>30</v>
      </c>
      <c r="H96">
        <f t="shared" si="10"/>
        <v>0</v>
      </c>
      <c r="I96" t="s">
        <v>19</v>
      </c>
      <c r="J96">
        <f t="shared" si="11"/>
        <v>0</v>
      </c>
      <c r="K96">
        <v>3620</v>
      </c>
      <c r="L96">
        <v>0</v>
      </c>
      <c r="M96">
        <v>25000</v>
      </c>
      <c r="N96">
        <v>120</v>
      </c>
      <c r="O96">
        <v>1</v>
      </c>
      <c r="P96" t="s">
        <v>35</v>
      </c>
      <c r="Q96">
        <f t="shared" si="12"/>
        <v>0</v>
      </c>
      <c r="R96">
        <f t="shared" si="13"/>
        <v>1</v>
      </c>
      <c r="S96">
        <f t="shared" si="14"/>
        <v>0</v>
      </c>
      <c r="T96" t="s">
        <v>22</v>
      </c>
      <c r="U96">
        <f t="shared" si="15"/>
        <v>1</v>
      </c>
      <c r="V96">
        <v>8.1945055097656407</v>
      </c>
      <c r="W96">
        <v>0</v>
      </c>
      <c r="X96">
        <v>10.126631103850338</v>
      </c>
      <c r="Y96" t="s">
        <v>43</v>
      </c>
    </row>
    <row r="97" spans="1:25" x14ac:dyDescent="0.3">
      <c r="A97" t="s">
        <v>126</v>
      </c>
      <c r="B97" t="s">
        <v>18</v>
      </c>
      <c r="C97">
        <f t="shared" si="8"/>
        <v>1</v>
      </c>
      <c r="D97" t="s">
        <v>19</v>
      </c>
      <c r="E97">
        <f t="shared" si="9"/>
        <v>0</v>
      </c>
      <c r="F97">
        <v>0</v>
      </c>
      <c r="G97" t="s">
        <v>20</v>
      </c>
      <c r="H97">
        <f t="shared" si="10"/>
        <v>1</v>
      </c>
      <c r="I97" t="s">
        <v>19</v>
      </c>
      <c r="J97">
        <f t="shared" si="11"/>
        <v>0</v>
      </c>
      <c r="K97">
        <v>6782</v>
      </c>
      <c r="L97">
        <v>0</v>
      </c>
      <c r="M97">
        <v>128000</v>
      </c>
      <c r="N97">
        <v>360</v>
      </c>
      <c r="O97">
        <v>1</v>
      </c>
      <c r="P97" t="s">
        <v>21</v>
      </c>
      <c r="Q97">
        <f t="shared" si="12"/>
        <v>1</v>
      </c>
      <c r="R97">
        <f t="shared" si="13"/>
        <v>0</v>
      </c>
      <c r="S97">
        <f t="shared" si="14"/>
        <v>0</v>
      </c>
      <c r="T97" t="s">
        <v>27</v>
      </c>
      <c r="U97">
        <f t="shared" si="15"/>
        <v>0</v>
      </c>
      <c r="V97">
        <v>8.8221747609460799</v>
      </c>
      <c r="W97">
        <v>0</v>
      </c>
      <c r="X97">
        <v>11.759785542901755</v>
      </c>
      <c r="Y97" t="s">
        <v>23</v>
      </c>
    </row>
    <row r="98" spans="1:25" x14ac:dyDescent="0.3">
      <c r="A98" t="s">
        <v>127</v>
      </c>
      <c r="B98" t="s">
        <v>48</v>
      </c>
      <c r="C98">
        <f t="shared" si="8"/>
        <v>0</v>
      </c>
      <c r="D98" t="s">
        <v>25</v>
      </c>
      <c r="E98">
        <f t="shared" si="9"/>
        <v>1</v>
      </c>
      <c r="F98">
        <v>0</v>
      </c>
      <c r="G98" t="s">
        <v>20</v>
      </c>
      <c r="H98">
        <f t="shared" si="10"/>
        <v>1</v>
      </c>
      <c r="I98" t="s">
        <v>19</v>
      </c>
      <c r="J98">
        <f t="shared" si="11"/>
        <v>0</v>
      </c>
      <c r="K98">
        <v>2484</v>
      </c>
      <c r="L98">
        <v>2302</v>
      </c>
      <c r="M98">
        <v>137000</v>
      </c>
      <c r="N98">
        <v>360</v>
      </c>
      <c r="O98">
        <v>1</v>
      </c>
      <c r="P98" t="s">
        <v>35</v>
      </c>
      <c r="Q98">
        <f t="shared" si="12"/>
        <v>0</v>
      </c>
      <c r="R98">
        <f t="shared" si="13"/>
        <v>1</v>
      </c>
      <c r="S98">
        <f t="shared" si="14"/>
        <v>0</v>
      </c>
      <c r="T98" t="s">
        <v>22</v>
      </c>
      <c r="U98">
        <f t="shared" si="15"/>
        <v>1</v>
      </c>
      <c r="V98">
        <v>7.8180279385307294</v>
      </c>
      <c r="W98">
        <v>7.7419678998206853</v>
      </c>
      <c r="X98">
        <v>11.827736204810263</v>
      </c>
      <c r="Y98" t="s">
        <v>23</v>
      </c>
    </row>
    <row r="99" spans="1:25" x14ac:dyDescent="0.3">
      <c r="A99" t="s">
        <v>128</v>
      </c>
      <c r="B99" t="s">
        <v>18</v>
      </c>
      <c r="C99">
        <f t="shared" si="8"/>
        <v>1</v>
      </c>
      <c r="D99" t="s">
        <v>25</v>
      </c>
      <c r="E99">
        <f t="shared" si="9"/>
        <v>1</v>
      </c>
      <c r="F99">
        <v>0</v>
      </c>
      <c r="G99" t="s">
        <v>20</v>
      </c>
      <c r="H99">
        <f t="shared" si="10"/>
        <v>1</v>
      </c>
      <c r="I99" t="s">
        <v>19</v>
      </c>
      <c r="J99">
        <f t="shared" si="11"/>
        <v>0</v>
      </c>
      <c r="K99">
        <v>1977</v>
      </c>
      <c r="L99">
        <v>997</v>
      </c>
      <c r="M99">
        <v>50000</v>
      </c>
      <c r="N99">
        <v>360</v>
      </c>
      <c r="O99">
        <v>1</v>
      </c>
      <c r="P99" t="s">
        <v>35</v>
      </c>
      <c r="Q99">
        <f t="shared" si="12"/>
        <v>0</v>
      </c>
      <c r="R99">
        <f t="shared" si="13"/>
        <v>1</v>
      </c>
      <c r="S99">
        <f t="shared" si="14"/>
        <v>0</v>
      </c>
      <c r="T99" t="s">
        <v>22</v>
      </c>
      <c r="U99">
        <f t="shared" si="15"/>
        <v>1</v>
      </c>
      <c r="V99">
        <v>7.589841512182657</v>
      </c>
      <c r="W99">
        <v>6.9057532763114642</v>
      </c>
      <c r="X99">
        <v>10.819778284410283</v>
      </c>
      <c r="Y99" t="s">
        <v>23</v>
      </c>
    </row>
    <row r="100" spans="1:25" x14ac:dyDescent="0.3">
      <c r="A100" t="s">
        <v>129</v>
      </c>
      <c r="B100" t="s">
        <v>18</v>
      </c>
      <c r="C100">
        <f t="shared" si="8"/>
        <v>1</v>
      </c>
      <c r="D100" t="s">
        <v>25</v>
      </c>
      <c r="E100">
        <f t="shared" si="9"/>
        <v>1</v>
      </c>
      <c r="F100">
        <v>0</v>
      </c>
      <c r="G100" t="s">
        <v>30</v>
      </c>
      <c r="H100">
        <f t="shared" si="10"/>
        <v>0</v>
      </c>
      <c r="I100" t="s">
        <v>19</v>
      </c>
      <c r="J100">
        <f t="shared" si="11"/>
        <v>0</v>
      </c>
      <c r="K100">
        <v>4188</v>
      </c>
      <c r="L100">
        <v>0</v>
      </c>
      <c r="M100">
        <v>115000</v>
      </c>
      <c r="N100">
        <v>180</v>
      </c>
      <c r="O100">
        <v>1</v>
      </c>
      <c r="P100" t="s">
        <v>35</v>
      </c>
      <c r="Q100">
        <f t="shared" si="12"/>
        <v>0</v>
      </c>
      <c r="R100">
        <f t="shared" si="13"/>
        <v>1</v>
      </c>
      <c r="S100">
        <f t="shared" si="14"/>
        <v>0</v>
      </c>
      <c r="T100" t="s">
        <v>22</v>
      </c>
      <c r="U100">
        <f t="shared" si="15"/>
        <v>1</v>
      </c>
      <c r="V100">
        <v>8.3402173209470352</v>
      </c>
      <c r="W100">
        <v>0</v>
      </c>
      <c r="X100">
        <v>11.652687407345388</v>
      </c>
      <c r="Y100" t="s">
        <v>46</v>
      </c>
    </row>
    <row r="101" spans="1:25" x14ac:dyDescent="0.3">
      <c r="A101" t="s">
        <v>130</v>
      </c>
      <c r="B101" t="s">
        <v>18</v>
      </c>
      <c r="C101">
        <f t="shared" si="8"/>
        <v>1</v>
      </c>
      <c r="D101" t="s">
        <v>25</v>
      </c>
      <c r="E101">
        <f t="shared" si="9"/>
        <v>1</v>
      </c>
      <c r="F101">
        <v>0</v>
      </c>
      <c r="G101" t="s">
        <v>20</v>
      </c>
      <c r="H101">
        <f t="shared" si="10"/>
        <v>1</v>
      </c>
      <c r="I101" t="s">
        <v>19</v>
      </c>
      <c r="J101">
        <f t="shared" si="11"/>
        <v>0</v>
      </c>
      <c r="K101">
        <v>1759</v>
      </c>
      <c r="L101">
        <v>3541</v>
      </c>
      <c r="M101">
        <v>131000</v>
      </c>
      <c r="N101">
        <v>360</v>
      </c>
      <c r="O101">
        <v>1</v>
      </c>
      <c r="P101" t="s">
        <v>35</v>
      </c>
      <c r="Q101">
        <f t="shared" si="12"/>
        <v>0</v>
      </c>
      <c r="R101">
        <f t="shared" si="13"/>
        <v>1</v>
      </c>
      <c r="S101">
        <f t="shared" si="14"/>
        <v>0</v>
      </c>
      <c r="T101" t="s">
        <v>22</v>
      </c>
      <c r="U101">
        <f t="shared" si="15"/>
        <v>1</v>
      </c>
      <c r="V101">
        <v>7.4730690880321973</v>
      </c>
      <c r="W101">
        <v>8.1724468183427792</v>
      </c>
      <c r="X101">
        <v>11.782952602183288</v>
      </c>
      <c r="Y101" t="s">
        <v>23</v>
      </c>
    </row>
    <row r="102" spans="1:25" x14ac:dyDescent="0.3">
      <c r="A102" t="s">
        <v>131</v>
      </c>
      <c r="B102" t="s">
        <v>18</v>
      </c>
      <c r="C102">
        <f t="shared" si="8"/>
        <v>1</v>
      </c>
      <c r="D102" t="s">
        <v>25</v>
      </c>
      <c r="E102">
        <f t="shared" si="9"/>
        <v>1</v>
      </c>
      <c r="F102">
        <v>2</v>
      </c>
      <c r="G102" t="s">
        <v>30</v>
      </c>
      <c r="H102">
        <f t="shared" si="10"/>
        <v>0</v>
      </c>
      <c r="I102" t="s">
        <v>19</v>
      </c>
      <c r="J102">
        <f t="shared" si="11"/>
        <v>0</v>
      </c>
      <c r="K102">
        <v>4288</v>
      </c>
      <c r="L102">
        <v>3263</v>
      </c>
      <c r="M102">
        <v>133000</v>
      </c>
      <c r="N102">
        <v>180</v>
      </c>
      <c r="O102">
        <v>1</v>
      </c>
      <c r="P102" t="s">
        <v>21</v>
      </c>
      <c r="Q102">
        <f t="shared" si="12"/>
        <v>1</v>
      </c>
      <c r="R102">
        <f t="shared" si="13"/>
        <v>0</v>
      </c>
      <c r="S102">
        <f t="shared" si="14"/>
        <v>0</v>
      </c>
      <c r="T102" t="s">
        <v>22</v>
      </c>
      <c r="U102">
        <f t="shared" si="15"/>
        <v>1</v>
      </c>
      <c r="V102">
        <v>8.3638088845168799</v>
      </c>
      <c r="W102">
        <v>8.0907087160839968</v>
      </c>
      <c r="X102">
        <v>11.798104407203891</v>
      </c>
      <c r="Y102" t="s">
        <v>46</v>
      </c>
    </row>
    <row r="103" spans="1:25" x14ac:dyDescent="0.3">
      <c r="A103" t="s">
        <v>132</v>
      </c>
      <c r="B103" t="s">
        <v>18</v>
      </c>
      <c r="C103">
        <f t="shared" si="8"/>
        <v>1</v>
      </c>
      <c r="D103" t="s">
        <v>19</v>
      </c>
      <c r="E103">
        <f t="shared" si="9"/>
        <v>0</v>
      </c>
      <c r="F103">
        <v>0</v>
      </c>
      <c r="G103" t="s">
        <v>20</v>
      </c>
      <c r="H103">
        <f t="shared" si="10"/>
        <v>1</v>
      </c>
      <c r="I103" t="s">
        <v>19</v>
      </c>
      <c r="J103">
        <f t="shared" si="11"/>
        <v>0</v>
      </c>
      <c r="K103">
        <v>4843</v>
      </c>
      <c r="L103">
        <v>3806</v>
      </c>
      <c r="M103">
        <v>151000</v>
      </c>
      <c r="N103">
        <v>360</v>
      </c>
      <c r="O103">
        <v>1</v>
      </c>
      <c r="P103" t="s">
        <v>35</v>
      </c>
      <c r="Q103">
        <f t="shared" si="12"/>
        <v>0</v>
      </c>
      <c r="R103">
        <f t="shared" si="13"/>
        <v>1</v>
      </c>
      <c r="S103">
        <f t="shared" si="14"/>
        <v>0</v>
      </c>
      <c r="T103" t="s">
        <v>22</v>
      </c>
      <c r="U103">
        <f t="shared" si="15"/>
        <v>1</v>
      </c>
      <c r="V103">
        <v>8.4854961046729827</v>
      </c>
      <c r="W103">
        <v>8.2445967563824976</v>
      </c>
      <c r="X103">
        <v>11.925035115797062</v>
      </c>
      <c r="Y103" t="s">
        <v>23</v>
      </c>
    </row>
    <row r="104" spans="1:25" x14ac:dyDescent="0.3">
      <c r="A104" t="s">
        <v>133</v>
      </c>
      <c r="B104" t="s">
        <v>18</v>
      </c>
      <c r="C104">
        <f t="shared" si="8"/>
        <v>1</v>
      </c>
      <c r="D104" t="s">
        <v>25</v>
      </c>
      <c r="E104">
        <f t="shared" si="9"/>
        <v>1</v>
      </c>
      <c r="F104">
        <v>0</v>
      </c>
      <c r="G104" t="s">
        <v>20</v>
      </c>
      <c r="H104">
        <f t="shared" si="10"/>
        <v>1</v>
      </c>
      <c r="I104" t="s">
        <v>19</v>
      </c>
      <c r="J104">
        <f t="shared" si="11"/>
        <v>0</v>
      </c>
      <c r="K104">
        <v>13650</v>
      </c>
      <c r="L104">
        <v>0</v>
      </c>
      <c r="M104">
        <v>128000</v>
      </c>
      <c r="N104">
        <v>360</v>
      </c>
      <c r="O104">
        <v>1</v>
      </c>
      <c r="P104" t="s">
        <v>21</v>
      </c>
      <c r="Q104">
        <f t="shared" si="12"/>
        <v>1</v>
      </c>
      <c r="R104">
        <f t="shared" si="13"/>
        <v>0</v>
      </c>
      <c r="S104">
        <f t="shared" si="14"/>
        <v>0</v>
      </c>
      <c r="T104" t="s">
        <v>22</v>
      </c>
      <c r="U104">
        <f t="shared" si="15"/>
        <v>1</v>
      </c>
      <c r="V104">
        <v>9.5215680580029769</v>
      </c>
      <c r="W104">
        <v>0</v>
      </c>
      <c r="X104">
        <v>11.759785542901755</v>
      </c>
      <c r="Y104" t="s">
        <v>23</v>
      </c>
    </row>
    <row r="105" spans="1:25" x14ac:dyDescent="0.3">
      <c r="A105" t="s">
        <v>134</v>
      </c>
      <c r="B105" t="s">
        <v>18</v>
      </c>
      <c r="C105">
        <f t="shared" si="8"/>
        <v>1</v>
      </c>
      <c r="D105" t="s">
        <v>25</v>
      </c>
      <c r="E105">
        <f t="shared" si="9"/>
        <v>1</v>
      </c>
      <c r="F105">
        <v>0</v>
      </c>
      <c r="G105" t="s">
        <v>20</v>
      </c>
      <c r="H105">
        <f t="shared" si="10"/>
        <v>1</v>
      </c>
      <c r="I105" t="s">
        <v>19</v>
      </c>
      <c r="J105">
        <f t="shared" si="11"/>
        <v>0</v>
      </c>
      <c r="K105">
        <v>4652</v>
      </c>
      <c r="L105">
        <v>3583</v>
      </c>
      <c r="M105">
        <v>128000</v>
      </c>
      <c r="N105">
        <v>360</v>
      </c>
      <c r="O105">
        <v>1</v>
      </c>
      <c r="P105" t="s">
        <v>35</v>
      </c>
      <c r="Q105">
        <f t="shared" si="12"/>
        <v>0</v>
      </c>
      <c r="R105">
        <f t="shared" si="13"/>
        <v>1</v>
      </c>
      <c r="S105">
        <f t="shared" si="14"/>
        <v>0</v>
      </c>
      <c r="T105" t="s">
        <v>22</v>
      </c>
      <c r="U105">
        <f t="shared" si="15"/>
        <v>1</v>
      </c>
      <c r="V105">
        <v>8.4452674518446482</v>
      </c>
      <c r="W105">
        <v>8.1842347740948203</v>
      </c>
      <c r="X105">
        <v>11.759785542901755</v>
      </c>
      <c r="Y105" t="s">
        <v>23</v>
      </c>
    </row>
    <row r="106" spans="1:25" x14ac:dyDescent="0.3">
      <c r="A106" t="s">
        <v>135</v>
      </c>
      <c r="B106" t="s">
        <v>18</v>
      </c>
      <c r="C106">
        <f t="shared" si="8"/>
        <v>1</v>
      </c>
      <c r="D106" t="s">
        <v>25</v>
      </c>
      <c r="E106">
        <f t="shared" si="9"/>
        <v>1</v>
      </c>
      <c r="F106">
        <v>0</v>
      </c>
      <c r="G106" t="s">
        <v>20</v>
      </c>
      <c r="H106">
        <f t="shared" si="10"/>
        <v>1</v>
      </c>
      <c r="I106" t="s">
        <v>19</v>
      </c>
      <c r="J106">
        <f t="shared" si="11"/>
        <v>0</v>
      </c>
      <c r="K106">
        <v>3816</v>
      </c>
      <c r="L106">
        <v>754</v>
      </c>
      <c r="M106">
        <v>160000</v>
      </c>
      <c r="N106">
        <v>360</v>
      </c>
      <c r="O106">
        <v>1</v>
      </c>
      <c r="P106" t="s">
        <v>21</v>
      </c>
      <c r="Q106">
        <f t="shared" si="12"/>
        <v>1</v>
      </c>
      <c r="R106">
        <f t="shared" si="13"/>
        <v>0</v>
      </c>
      <c r="S106">
        <f t="shared" si="14"/>
        <v>0</v>
      </c>
      <c r="T106" t="s">
        <v>22</v>
      </c>
      <c r="U106">
        <f t="shared" si="15"/>
        <v>1</v>
      </c>
      <c r="V106">
        <v>8.2472200527452291</v>
      </c>
      <c r="W106">
        <v>6.6267177492490248</v>
      </c>
      <c r="X106">
        <v>11.982929094215963</v>
      </c>
      <c r="Y106" t="s">
        <v>23</v>
      </c>
    </row>
    <row r="107" spans="1:25" x14ac:dyDescent="0.3">
      <c r="A107" t="s">
        <v>136</v>
      </c>
      <c r="B107" t="s">
        <v>18</v>
      </c>
      <c r="C107">
        <f t="shared" si="8"/>
        <v>1</v>
      </c>
      <c r="D107" t="s">
        <v>25</v>
      </c>
      <c r="E107">
        <f t="shared" si="9"/>
        <v>1</v>
      </c>
      <c r="F107">
        <v>1</v>
      </c>
      <c r="G107" t="s">
        <v>20</v>
      </c>
      <c r="H107">
        <f t="shared" si="10"/>
        <v>1</v>
      </c>
      <c r="I107" t="s">
        <v>19</v>
      </c>
      <c r="J107">
        <f t="shared" si="11"/>
        <v>0</v>
      </c>
      <c r="K107">
        <v>3052</v>
      </c>
      <c r="L107">
        <v>1030</v>
      </c>
      <c r="M107">
        <v>100000</v>
      </c>
      <c r="N107">
        <v>360</v>
      </c>
      <c r="O107">
        <v>1</v>
      </c>
      <c r="P107" t="s">
        <v>21</v>
      </c>
      <c r="Q107">
        <f t="shared" si="12"/>
        <v>1</v>
      </c>
      <c r="R107">
        <f t="shared" si="13"/>
        <v>0</v>
      </c>
      <c r="S107">
        <f t="shared" si="14"/>
        <v>0</v>
      </c>
      <c r="T107" t="s">
        <v>22</v>
      </c>
      <c r="U107">
        <f t="shared" si="15"/>
        <v>1</v>
      </c>
      <c r="V107">
        <v>8.0238799927348783</v>
      </c>
      <c r="W107">
        <v>6.9382844840169602</v>
      </c>
      <c r="X107">
        <v>11.512925464970229</v>
      </c>
      <c r="Y107" t="s">
        <v>23</v>
      </c>
    </row>
    <row r="108" spans="1:25" x14ac:dyDescent="0.3">
      <c r="A108" t="s">
        <v>137</v>
      </c>
      <c r="B108" t="s">
        <v>18</v>
      </c>
      <c r="C108">
        <f t="shared" si="8"/>
        <v>1</v>
      </c>
      <c r="D108" t="s">
        <v>25</v>
      </c>
      <c r="E108">
        <f t="shared" si="9"/>
        <v>1</v>
      </c>
      <c r="F108">
        <v>2</v>
      </c>
      <c r="G108" t="s">
        <v>20</v>
      </c>
      <c r="H108">
        <f t="shared" si="10"/>
        <v>1</v>
      </c>
      <c r="I108" t="s">
        <v>19</v>
      </c>
      <c r="J108">
        <f t="shared" si="11"/>
        <v>0</v>
      </c>
      <c r="K108">
        <v>11417</v>
      </c>
      <c r="L108">
        <v>1126</v>
      </c>
      <c r="M108">
        <v>225000</v>
      </c>
      <c r="N108">
        <v>360</v>
      </c>
      <c r="O108">
        <v>1</v>
      </c>
      <c r="P108" t="s">
        <v>21</v>
      </c>
      <c r="Q108">
        <f t="shared" si="12"/>
        <v>1</v>
      </c>
      <c r="R108">
        <f t="shared" si="13"/>
        <v>0</v>
      </c>
      <c r="S108">
        <f t="shared" si="14"/>
        <v>0</v>
      </c>
      <c r="T108" t="s">
        <v>22</v>
      </c>
      <c r="U108">
        <f t="shared" si="15"/>
        <v>1</v>
      </c>
      <c r="V108">
        <v>9.3429463365242036</v>
      </c>
      <c r="W108">
        <v>7.0273145140397766</v>
      </c>
      <c r="X108">
        <v>12.323855681186558</v>
      </c>
      <c r="Y108" t="s">
        <v>23</v>
      </c>
    </row>
    <row r="109" spans="1:25" x14ac:dyDescent="0.3">
      <c r="A109" t="s">
        <v>138</v>
      </c>
      <c r="B109" t="s">
        <v>18</v>
      </c>
      <c r="C109">
        <f t="shared" si="8"/>
        <v>1</v>
      </c>
      <c r="D109" t="s">
        <v>19</v>
      </c>
      <c r="E109">
        <f t="shared" si="9"/>
        <v>0</v>
      </c>
      <c r="F109">
        <v>0</v>
      </c>
      <c r="G109" t="s">
        <v>30</v>
      </c>
      <c r="H109">
        <f t="shared" si="10"/>
        <v>0</v>
      </c>
      <c r="I109" t="s">
        <v>19</v>
      </c>
      <c r="J109">
        <f t="shared" si="11"/>
        <v>0</v>
      </c>
      <c r="K109">
        <v>7333</v>
      </c>
      <c r="L109">
        <v>0</v>
      </c>
      <c r="M109">
        <v>120000</v>
      </c>
      <c r="N109">
        <v>360</v>
      </c>
      <c r="O109">
        <v>1</v>
      </c>
      <c r="P109" t="s">
        <v>26</v>
      </c>
      <c r="Q109">
        <f t="shared" si="12"/>
        <v>0</v>
      </c>
      <c r="R109">
        <f t="shared" si="13"/>
        <v>0</v>
      </c>
      <c r="S109">
        <f t="shared" si="14"/>
        <v>1</v>
      </c>
      <c r="T109" t="s">
        <v>27</v>
      </c>
      <c r="U109">
        <f t="shared" si="15"/>
        <v>0</v>
      </c>
      <c r="V109">
        <v>8.9002763486312713</v>
      </c>
      <c r="W109">
        <v>0</v>
      </c>
      <c r="X109">
        <v>11.695247021764184</v>
      </c>
      <c r="Y109" t="s">
        <v>23</v>
      </c>
    </row>
    <row r="110" spans="1:25" x14ac:dyDescent="0.3">
      <c r="A110" t="s">
        <v>139</v>
      </c>
      <c r="B110" t="s">
        <v>18</v>
      </c>
      <c r="C110">
        <f t="shared" si="8"/>
        <v>1</v>
      </c>
      <c r="D110" t="s">
        <v>25</v>
      </c>
      <c r="E110">
        <f t="shared" si="9"/>
        <v>1</v>
      </c>
      <c r="F110">
        <v>2</v>
      </c>
      <c r="G110" t="s">
        <v>20</v>
      </c>
      <c r="H110">
        <f t="shared" si="10"/>
        <v>1</v>
      </c>
      <c r="I110" t="s">
        <v>19</v>
      </c>
      <c r="J110">
        <f t="shared" si="11"/>
        <v>0</v>
      </c>
      <c r="K110">
        <v>3800</v>
      </c>
      <c r="L110">
        <v>3600</v>
      </c>
      <c r="M110">
        <v>216000</v>
      </c>
      <c r="N110">
        <v>360</v>
      </c>
      <c r="O110">
        <v>0</v>
      </c>
      <c r="P110" t="s">
        <v>21</v>
      </c>
      <c r="Q110">
        <f t="shared" si="12"/>
        <v>1</v>
      </c>
      <c r="R110">
        <f t="shared" si="13"/>
        <v>0</v>
      </c>
      <c r="S110">
        <f t="shared" si="14"/>
        <v>0</v>
      </c>
      <c r="T110" t="s">
        <v>27</v>
      </c>
      <c r="U110">
        <f t="shared" si="15"/>
        <v>0</v>
      </c>
      <c r="V110">
        <v>8.2430194689892495</v>
      </c>
      <c r="W110">
        <v>8.1889668636488757</v>
      </c>
      <c r="X110">
        <v>12.283033686666302</v>
      </c>
      <c r="Y110" t="s">
        <v>23</v>
      </c>
    </row>
    <row r="111" spans="1:25" x14ac:dyDescent="0.3">
      <c r="A111" t="s">
        <v>140</v>
      </c>
      <c r="B111" t="s">
        <v>18</v>
      </c>
      <c r="C111">
        <f t="shared" si="8"/>
        <v>1</v>
      </c>
      <c r="D111" t="s">
        <v>25</v>
      </c>
      <c r="E111">
        <f t="shared" si="9"/>
        <v>1</v>
      </c>
      <c r="F111">
        <v>3</v>
      </c>
      <c r="G111" t="s">
        <v>30</v>
      </c>
      <c r="H111">
        <f t="shared" si="10"/>
        <v>0</v>
      </c>
      <c r="I111" t="s">
        <v>19</v>
      </c>
      <c r="J111">
        <f t="shared" si="11"/>
        <v>0</v>
      </c>
      <c r="K111">
        <v>2071</v>
      </c>
      <c r="L111">
        <v>754</v>
      </c>
      <c r="M111">
        <v>94000</v>
      </c>
      <c r="N111">
        <v>480</v>
      </c>
      <c r="O111">
        <v>1</v>
      </c>
      <c r="P111" t="s">
        <v>35</v>
      </c>
      <c r="Q111">
        <f t="shared" si="12"/>
        <v>0</v>
      </c>
      <c r="R111">
        <f t="shared" si="13"/>
        <v>1</v>
      </c>
      <c r="S111">
        <f t="shared" si="14"/>
        <v>0</v>
      </c>
      <c r="T111" t="s">
        <v>22</v>
      </c>
      <c r="U111">
        <f t="shared" si="15"/>
        <v>1</v>
      </c>
      <c r="V111">
        <v>7.6362696033793744</v>
      </c>
      <c r="W111">
        <v>6.6267177492490248</v>
      </c>
      <c r="X111">
        <v>11.451050061252142</v>
      </c>
      <c r="Y111" t="s">
        <v>23</v>
      </c>
    </row>
    <row r="112" spans="1:25" x14ac:dyDescent="0.3">
      <c r="A112" t="s">
        <v>141</v>
      </c>
      <c r="B112" t="s">
        <v>18</v>
      </c>
      <c r="C112">
        <f t="shared" si="8"/>
        <v>1</v>
      </c>
      <c r="D112" t="s">
        <v>19</v>
      </c>
      <c r="E112">
        <f t="shared" si="9"/>
        <v>0</v>
      </c>
      <c r="F112">
        <v>0</v>
      </c>
      <c r="G112" t="s">
        <v>20</v>
      </c>
      <c r="H112">
        <f t="shared" si="10"/>
        <v>1</v>
      </c>
      <c r="I112" t="s">
        <v>19</v>
      </c>
      <c r="J112">
        <f t="shared" si="11"/>
        <v>0</v>
      </c>
      <c r="K112">
        <v>5316</v>
      </c>
      <c r="L112">
        <v>0</v>
      </c>
      <c r="M112">
        <v>136000</v>
      </c>
      <c r="N112">
        <v>360</v>
      </c>
      <c r="O112">
        <v>1</v>
      </c>
      <c r="P112" t="s">
        <v>21</v>
      </c>
      <c r="Q112">
        <f t="shared" si="12"/>
        <v>1</v>
      </c>
      <c r="R112">
        <f t="shared" si="13"/>
        <v>0</v>
      </c>
      <c r="S112">
        <f t="shared" si="14"/>
        <v>0</v>
      </c>
      <c r="T112" t="s">
        <v>22</v>
      </c>
      <c r="U112">
        <f t="shared" si="15"/>
        <v>1</v>
      </c>
      <c r="V112">
        <v>8.5786645135043393</v>
      </c>
      <c r="W112">
        <v>0</v>
      </c>
      <c r="X112">
        <v>11.820410164718188</v>
      </c>
      <c r="Y112" t="s">
        <v>23</v>
      </c>
    </row>
    <row r="113" spans="1:25" x14ac:dyDescent="0.3">
      <c r="A113" t="s">
        <v>142</v>
      </c>
      <c r="B113" t="s">
        <v>48</v>
      </c>
      <c r="C113">
        <f t="shared" si="8"/>
        <v>0</v>
      </c>
      <c r="D113" t="s">
        <v>25</v>
      </c>
      <c r="E113">
        <f t="shared" si="9"/>
        <v>1</v>
      </c>
      <c r="F113">
        <v>0</v>
      </c>
      <c r="G113" t="s">
        <v>20</v>
      </c>
      <c r="H113">
        <f t="shared" si="10"/>
        <v>1</v>
      </c>
      <c r="I113" t="s">
        <v>19</v>
      </c>
      <c r="J113">
        <f t="shared" si="11"/>
        <v>0</v>
      </c>
      <c r="K113">
        <v>2929</v>
      </c>
      <c r="L113">
        <v>2333</v>
      </c>
      <c r="M113">
        <v>139000</v>
      </c>
      <c r="N113">
        <v>360</v>
      </c>
      <c r="O113">
        <v>1</v>
      </c>
      <c r="P113" t="s">
        <v>35</v>
      </c>
      <c r="Q113">
        <f t="shared" si="12"/>
        <v>0</v>
      </c>
      <c r="R113">
        <f t="shared" si="13"/>
        <v>1</v>
      </c>
      <c r="S113">
        <f t="shared" si="14"/>
        <v>0</v>
      </c>
      <c r="T113" t="s">
        <v>22</v>
      </c>
      <c r="U113">
        <f t="shared" si="15"/>
        <v>1</v>
      </c>
      <c r="V113">
        <v>7.9827577020111127</v>
      </c>
      <c r="W113">
        <v>7.7553388128465013</v>
      </c>
      <c r="X113">
        <v>11.842229212112828</v>
      </c>
      <c r="Y113" t="s">
        <v>23</v>
      </c>
    </row>
    <row r="114" spans="1:25" x14ac:dyDescent="0.3">
      <c r="A114" t="s">
        <v>143</v>
      </c>
      <c r="B114" t="s">
        <v>18</v>
      </c>
      <c r="C114">
        <f t="shared" si="8"/>
        <v>1</v>
      </c>
      <c r="D114" t="s">
        <v>25</v>
      </c>
      <c r="E114">
        <f t="shared" si="9"/>
        <v>1</v>
      </c>
      <c r="F114">
        <v>0</v>
      </c>
      <c r="G114" t="s">
        <v>30</v>
      </c>
      <c r="H114">
        <f t="shared" si="10"/>
        <v>0</v>
      </c>
      <c r="I114" t="s">
        <v>19</v>
      </c>
      <c r="J114">
        <f t="shared" si="11"/>
        <v>0</v>
      </c>
      <c r="K114">
        <v>3572</v>
      </c>
      <c r="L114">
        <v>4114</v>
      </c>
      <c r="M114">
        <v>152000</v>
      </c>
      <c r="N114">
        <v>360</v>
      </c>
      <c r="O114">
        <v>0</v>
      </c>
      <c r="P114" t="s">
        <v>26</v>
      </c>
      <c r="Q114">
        <f t="shared" si="12"/>
        <v>0</v>
      </c>
      <c r="R114">
        <f t="shared" si="13"/>
        <v>0</v>
      </c>
      <c r="S114">
        <f t="shared" si="14"/>
        <v>1</v>
      </c>
      <c r="T114" t="s">
        <v>27</v>
      </c>
      <c r="U114">
        <f t="shared" si="15"/>
        <v>0</v>
      </c>
      <c r="V114">
        <v>8.181160858023409</v>
      </c>
      <c r="W114">
        <v>8.3223941131111694</v>
      </c>
      <c r="X114">
        <v>11.931635799828413</v>
      </c>
      <c r="Y114" t="s">
        <v>23</v>
      </c>
    </row>
    <row r="115" spans="1:25" x14ac:dyDescent="0.3">
      <c r="A115" t="s">
        <v>144</v>
      </c>
      <c r="B115" t="s">
        <v>48</v>
      </c>
      <c r="C115">
        <f t="shared" si="8"/>
        <v>0</v>
      </c>
      <c r="D115" t="s">
        <v>19</v>
      </c>
      <c r="E115">
        <f t="shared" si="9"/>
        <v>0</v>
      </c>
      <c r="F115">
        <v>1</v>
      </c>
      <c r="G115" t="s">
        <v>20</v>
      </c>
      <c r="H115">
        <f t="shared" si="10"/>
        <v>1</v>
      </c>
      <c r="I115" t="s">
        <v>25</v>
      </c>
      <c r="J115">
        <f t="shared" si="11"/>
        <v>1</v>
      </c>
      <c r="K115">
        <v>7451</v>
      </c>
      <c r="L115">
        <v>0</v>
      </c>
      <c r="M115">
        <v>128000</v>
      </c>
      <c r="N115">
        <v>360</v>
      </c>
      <c r="O115">
        <v>1</v>
      </c>
      <c r="P115" t="s">
        <v>35</v>
      </c>
      <c r="Q115">
        <f t="shared" si="12"/>
        <v>0</v>
      </c>
      <c r="R115">
        <f t="shared" si="13"/>
        <v>1</v>
      </c>
      <c r="S115">
        <f t="shared" si="14"/>
        <v>0</v>
      </c>
      <c r="T115" t="s">
        <v>22</v>
      </c>
      <c r="U115">
        <f t="shared" si="15"/>
        <v>1</v>
      </c>
      <c r="V115">
        <v>8.9162377317214787</v>
      </c>
      <c r="W115">
        <v>0</v>
      </c>
      <c r="X115">
        <v>11.759785542901755</v>
      </c>
      <c r="Y115" t="s">
        <v>23</v>
      </c>
    </row>
    <row r="116" spans="1:25" x14ac:dyDescent="0.3">
      <c r="A116" t="s">
        <v>145</v>
      </c>
      <c r="B116" t="s">
        <v>18</v>
      </c>
      <c r="C116">
        <f t="shared" si="8"/>
        <v>1</v>
      </c>
      <c r="D116" t="s">
        <v>19</v>
      </c>
      <c r="E116">
        <f t="shared" si="9"/>
        <v>0</v>
      </c>
      <c r="F116">
        <v>0</v>
      </c>
      <c r="G116" t="s">
        <v>20</v>
      </c>
      <c r="H116">
        <f t="shared" si="10"/>
        <v>1</v>
      </c>
      <c r="I116" t="s">
        <v>19</v>
      </c>
      <c r="J116">
        <f t="shared" si="11"/>
        <v>0</v>
      </c>
      <c r="K116">
        <v>5050</v>
      </c>
      <c r="L116">
        <v>0</v>
      </c>
      <c r="M116">
        <v>118000</v>
      </c>
      <c r="N116">
        <v>360</v>
      </c>
      <c r="O116">
        <v>1</v>
      </c>
      <c r="P116" t="s">
        <v>35</v>
      </c>
      <c r="Q116">
        <f t="shared" si="12"/>
        <v>0</v>
      </c>
      <c r="R116">
        <f t="shared" si="13"/>
        <v>1</v>
      </c>
      <c r="S116">
        <f t="shared" si="14"/>
        <v>0</v>
      </c>
      <c r="T116" t="s">
        <v>22</v>
      </c>
      <c r="U116">
        <f t="shared" si="15"/>
        <v>1</v>
      </c>
      <c r="V116">
        <v>8.5273415224680527</v>
      </c>
      <c r="W116">
        <v>0</v>
      </c>
      <c r="X116">
        <v>11.678439903447801</v>
      </c>
      <c r="Y116" t="s">
        <v>23</v>
      </c>
    </row>
    <row r="117" spans="1:25" x14ac:dyDescent="0.3">
      <c r="A117" t="s">
        <v>146</v>
      </c>
      <c r="B117" t="s">
        <v>18</v>
      </c>
      <c r="C117">
        <f t="shared" si="8"/>
        <v>1</v>
      </c>
      <c r="D117" t="s">
        <v>25</v>
      </c>
      <c r="E117">
        <f t="shared" si="9"/>
        <v>1</v>
      </c>
      <c r="F117">
        <v>1</v>
      </c>
      <c r="G117" t="s">
        <v>20</v>
      </c>
      <c r="H117">
        <f t="shared" si="10"/>
        <v>1</v>
      </c>
      <c r="I117" t="s">
        <v>19</v>
      </c>
      <c r="J117">
        <f t="shared" si="11"/>
        <v>0</v>
      </c>
      <c r="K117">
        <v>14583</v>
      </c>
      <c r="L117">
        <v>0</v>
      </c>
      <c r="M117">
        <v>185000</v>
      </c>
      <c r="N117">
        <v>180</v>
      </c>
      <c r="O117">
        <v>1</v>
      </c>
      <c r="P117" t="s">
        <v>26</v>
      </c>
      <c r="Q117">
        <f t="shared" si="12"/>
        <v>0</v>
      </c>
      <c r="R117">
        <f t="shared" si="13"/>
        <v>0</v>
      </c>
      <c r="S117">
        <f t="shared" si="14"/>
        <v>1</v>
      </c>
      <c r="T117" t="s">
        <v>22</v>
      </c>
      <c r="U117">
        <f t="shared" si="15"/>
        <v>1</v>
      </c>
      <c r="V117">
        <v>9.5876803163584992</v>
      </c>
      <c r="W117">
        <v>0</v>
      </c>
      <c r="X117">
        <v>12.128111104060462</v>
      </c>
      <c r="Y117" t="s">
        <v>46</v>
      </c>
    </row>
    <row r="118" spans="1:25" x14ac:dyDescent="0.3">
      <c r="A118" t="s">
        <v>147</v>
      </c>
      <c r="B118" t="s">
        <v>48</v>
      </c>
      <c r="C118">
        <f t="shared" si="8"/>
        <v>0</v>
      </c>
      <c r="D118" t="s">
        <v>25</v>
      </c>
      <c r="E118">
        <f t="shared" si="9"/>
        <v>1</v>
      </c>
      <c r="F118">
        <v>0</v>
      </c>
      <c r="G118" t="s">
        <v>20</v>
      </c>
      <c r="H118">
        <f t="shared" si="10"/>
        <v>1</v>
      </c>
      <c r="I118" t="s">
        <v>19</v>
      </c>
      <c r="J118">
        <f t="shared" si="11"/>
        <v>0</v>
      </c>
      <c r="K118">
        <v>3167</v>
      </c>
      <c r="L118">
        <v>2283</v>
      </c>
      <c r="M118">
        <v>154000</v>
      </c>
      <c r="N118">
        <v>360</v>
      </c>
      <c r="O118">
        <v>1</v>
      </c>
      <c r="P118" t="s">
        <v>35</v>
      </c>
      <c r="Q118">
        <f t="shared" si="12"/>
        <v>0</v>
      </c>
      <c r="R118">
        <f t="shared" si="13"/>
        <v>1</v>
      </c>
      <c r="S118">
        <f t="shared" si="14"/>
        <v>0</v>
      </c>
      <c r="T118" t="s">
        <v>22</v>
      </c>
      <c r="U118">
        <f t="shared" si="15"/>
        <v>1</v>
      </c>
      <c r="V118">
        <v>8.0608557529343159</v>
      </c>
      <c r="W118">
        <v>7.7336835707759004</v>
      </c>
      <c r="X118">
        <v>11.944707881395766</v>
      </c>
      <c r="Y118" t="s">
        <v>23</v>
      </c>
    </row>
    <row r="119" spans="1:25" x14ac:dyDescent="0.3">
      <c r="A119" t="s">
        <v>148</v>
      </c>
      <c r="B119" t="s">
        <v>18</v>
      </c>
      <c r="C119">
        <f t="shared" si="8"/>
        <v>1</v>
      </c>
      <c r="D119" t="s">
        <v>25</v>
      </c>
      <c r="E119">
        <f t="shared" si="9"/>
        <v>1</v>
      </c>
      <c r="F119">
        <v>1</v>
      </c>
      <c r="G119" t="s">
        <v>20</v>
      </c>
      <c r="H119">
        <f t="shared" si="10"/>
        <v>1</v>
      </c>
      <c r="I119" t="s">
        <v>19</v>
      </c>
      <c r="J119">
        <f t="shared" si="11"/>
        <v>0</v>
      </c>
      <c r="K119">
        <v>2214</v>
      </c>
      <c r="L119">
        <v>1398</v>
      </c>
      <c r="M119">
        <v>85000</v>
      </c>
      <c r="N119">
        <v>360</v>
      </c>
      <c r="O119">
        <v>1</v>
      </c>
      <c r="P119" t="s">
        <v>21</v>
      </c>
      <c r="Q119">
        <f t="shared" si="12"/>
        <v>1</v>
      </c>
      <c r="R119">
        <f t="shared" si="13"/>
        <v>0</v>
      </c>
      <c r="S119">
        <f t="shared" si="14"/>
        <v>0</v>
      </c>
      <c r="T119" t="s">
        <v>22</v>
      </c>
      <c r="U119">
        <f t="shared" si="15"/>
        <v>1</v>
      </c>
      <c r="V119">
        <v>7.7030076824792362</v>
      </c>
      <c r="W119">
        <v>7.2435129746654816</v>
      </c>
      <c r="X119">
        <v>11.350406535472453</v>
      </c>
      <c r="Y119" t="s">
        <v>23</v>
      </c>
    </row>
    <row r="120" spans="1:25" x14ac:dyDescent="0.3">
      <c r="A120" t="s">
        <v>149</v>
      </c>
      <c r="B120" t="s">
        <v>18</v>
      </c>
      <c r="C120">
        <f t="shared" si="8"/>
        <v>1</v>
      </c>
      <c r="D120" t="s">
        <v>25</v>
      </c>
      <c r="E120">
        <f t="shared" si="9"/>
        <v>1</v>
      </c>
      <c r="F120">
        <v>0</v>
      </c>
      <c r="G120" t="s">
        <v>20</v>
      </c>
      <c r="H120">
        <f t="shared" si="10"/>
        <v>1</v>
      </c>
      <c r="I120" t="s">
        <v>19</v>
      </c>
      <c r="J120">
        <f t="shared" si="11"/>
        <v>0</v>
      </c>
      <c r="K120">
        <v>5568</v>
      </c>
      <c r="L120">
        <v>2142</v>
      </c>
      <c r="M120">
        <v>175000</v>
      </c>
      <c r="N120">
        <v>360</v>
      </c>
      <c r="O120">
        <v>1</v>
      </c>
      <c r="P120" t="s">
        <v>26</v>
      </c>
      <c r="Q120">
        <f t="shared" si="12"/>
        <v>0</v>
      </c>
      <c r="R120">
        <f t="shared" si="13"/>
        <v>0</v>
      </c>
      <c r="S120">
        <f t="shared" si="14"/>
        <v>1</v>
      </c>
      <c r="T120" t="s">
        <v>27</v>
      </c>
      <c r="U120">
        <f t="shared" si="15"/>
        <v>0</v>
      </c>
      <c r="V120">
        <v>8.624970783589669</v>
      </c>
      <c r="W120">
        <v>7.6699619954735772</v>
      </c>
      <c r="X120">
        <v>12.072541252905651</v>
      </c>
      <c r="Y120" t="s">
        <v>23</v>
      </c>
    </row>
    <row r="121" spans="1:25" x14ac:dyDescent="0.3">
      <c r="A121" t="s">
        <v>150</v>
      </c>
      <c r="B121" t="s">
        <v>48</v>
      </c>
      <c r="C121">
        <f t="shared" si="8"/>
        <v>0</v>
      </c>
      <c r="D121" t="s">
        <v>19</v>
      </c>
      <c r="E121">
        <f t="shared" si="9"/>
        <v>0</v>
      </c>
      <c r="F121">
        <v>0</v>
      </c>
      <c r="G121" t="s">
        <v>20</v>
      </c>
      <c r="H121">
        <f t="shared" si="10"/>
        <v>1</v>
      </c>
      <c r="I121" t="s">
        <v>19</v>
      </c>
      <c r="J121">
        <f t="shared" si="11"/>
        <v>0</v>
      </c>
      <c r="K121">
        <v>10408</v>
      </c>
      <c r="L121">
        <v>0</v>
      </c>
      <c r="M121">
        <v>259000</v>
      </c>
      <c r="N121">
        <v>360</v>
      </c>
      <c r="O121">
        <v>1</v>
      </c>
      <c r="P121" t="s">
        <v>21</v>
      </c>
      <c r="Q121">
        <f t="shared" si="12"/>
        <v>1</v>
      </c>
      <c r="R121">
        <f t="shared" si="13"/>
        <v>0</v>
      </c>
      <c r="S121">
        <f t="shared" si="14"/>
        <v>0</v>
      </c>
      <c r="T121" t="s">
        <v>22</v>
      </c>
      <c r="U121">
        <f t="shared" si="15"/>
        <v>1</v>
      </c>
      <c r="V121">
        <v>9.2504260955154685</v>
      </c>
      <c r="W121">
        <v>0</v>
      </c>
      <c r="X121">
        <v>12.464583340681674</v>
      </c>
      <c r="Y121" t="s">
        <v>23</v>
      </c>
    </row>
    <row r="122" spans="1:25" x14ac:dyDescent="0.3">
      <c r="A122" t="s">
        <v>151</v>
      </c>
      <c r="B122" t="s">
        <v>18</v>
      </c>
      <c r="C122">
        <f t="shared" si="8"/>
        <v>1</v>
      </c>
      <c r="D122" t="s">
        <v>25</v>
      </c>
      <c r="E122">
        <f t="shared" si="9"/>
        <v>1</v>
      </c>
      <c r="F122">
        <v>0</v>
      </c>
      <c r="G122" t="s">
        <v>20</v>
      </c>
      <c r="H122">
        <f t="shared" si="10"/>
        <v>1</v>
      </c>
      <c r="I122" t="s">
        <v>19</v>
      </c>
      <c r="J122">
        <f t="shared" si="11"/>
        <v>0</v>
      </c>
      <c r="K122">
        <v>5667</v>
      </c>
      <c r="L122">
        <v>2667</v>
      </c>
      <c r="M122">
        <v>180000</v>
      </c>
      <c r="N122">
        <v>360</v>
      </c>
      <c r="O122">
        <v>1</v>
      </c>
      <c r="P122" t="s">
        <v>26</v>
      </c>
      <c r="Q122">
        <f t="shared" si="12"/>
        <v>0</v>
      </c>
      <c r="R122">
        <f t="shared" si="13"/>
        <v>0</v>
      </c>
      <c r="S122">
        <f t="shared" si="14"/>
        <v>1</v>
      </c>
      <c r="T122" t="s">
        <v>22</v>
      </c>
      <c r="U122">
        <f t="shared" si="15"/>
        <v>1</v>
      </c>
      <c r="V122">
        <v>8.6425916008105705</v>
      </c>
      <c r="W122">
        <v>7.8890844070355142</v>
      </c>
      <c r="X122">
        <v>12.100712129872347</v>
      </c>
      <c r="Y122" t="s">
        <v>23</v>
      </c>
    </row>
    <row r="123" spans="1:25" x14ac:dyDescent="0.3">
      <c r="A123" t="s">
        <v>152</v>
      </c>
      <c r="B123" t="s">
        <v>48</v>
      </c>
      <c r="C123">
        <f t="shared" si="8"/>
        <v>0</v>
      </c>
      <c r="D123" t="s">
        <v>19</v>
      </c>
      <c r="E123">
        <f t="shared" si="9"/>
        <v>0</v>
      </c>
      <c r="F123">
        <v>0</v>
      </c>
      <c r="G123" t="s">
        <v>20</v>
      </c>
      <c r="H123">
        <f t="shared" si="10"/>
        <v>1</v>
      </c>
      <c r="I123" t="s">
        <v>19</v>
      </c>
      <c r="J123">
        <f t="shared" si="11"/>
        <v>0</v>
      </c>
      <c r="K123">
        <v>4166</v>
      </c>
      <c r="L123">
        <v>0</v>
      </c>
      <c r="M123">
        <v>44000</v>
      </c>
      <c r="N123">
        <v>360</v>
      </c>
      <c r="O123">
        <v>1</v>
      </c>
      <c r="P123" t="s">
        <v>35</v>
      </c>
      <c r="Q123">
        <f t="shared" si="12"/>
        <v>0</v>
      </c>
      <c r="R123">
        <f t="shared" si="13"/>
        <v>1</v>
      </c>
      <c r="S123">
        <f t="shared" si="14"/>
        <v>0</v>
      </c>
      <c r="T123" t="s">
        <v>22</v>
      </c>
      <c r="U123">
        <f t="shared" si="15"/>
        <v>1</v>
      </c>
      <c r="V123">
        <v>8.3349516314224541</v>
      </c>
      <c r="W123">
        <v>0</v>
      </c>
      <c r="X123">
        <v>10.691944912900398</v>
      </c>
      <c r="Y123" t="s">
        <v>23</v>
      </c>
    </row>
    <row r="124" spans="1:25" x14ac:dyDescent="0.3">
      <c r="A124" t="s">
        <v>153</v>
      </c>
      <c r="B124" t="s">
        <v>48</v>
      </c>
      <c r="C124">
        <f t="shared" si="8"/>
        <v>0</v>
      </c>
      <c r="D124" t="s">
        <v>19</v>
      </c>
      <c r="E124">
        <f t="shared" si="9"/>
        <v>0</v>
      </c>
      <c r="F124">
        <v>0</v>
      </c>
      <c r="G124" t="s">
        <v>20</v>
      </c>
      <c r="H124">
        <f t="shared" si="10"/>
        <v>1</v>
      </c>
      <c r="I124" t="s">
        <v>19</v>
      </c>
      <c r="J124">
        <f t="shared" si="11"/>
        <v>0</v>
      </c>
      <c r="K124">
        <v>2137</v>
      </c>
      <c r="L124">
        <v>8980</v>
      </c>
      <c r="M124">
        <v>137000</v>
      </c>
      <c r="N124">
        <v>360</v>
      </c>
      <c r="O124">
        <v>0</v>
      </c>
      <c r="P124" t="s">
        <v>35</v>
      </c>
      <c r="Q124">
        <f t="shared" si="12"/>
        <v>0</v>
      </c>
      <c r="R124">
        <f t="shared" si="13"/>
        <v>1</v>
      </c>
      <c r="S124">
        <f t="shared" si="14"/>
        <v>0</v>
      </c>
      <c r="T124" t="s">
        <v>22</v>
      </c>
      <c r="U124">
        <f t="shared" si="15"/>
        <v>1</v>
      </c>
      <c r="V124">
        <v>7.6676260915849914</v>
      </c>
      <c r="W124">
        <v>9.1028665136709499</v>
      </c>
      <c r="X124">
        <v>11.827736204810263</v>
      </c>
      <c r="Y124" t="s">
        <v>23</v>
      </c>
    </row>
    <row r="125" spans="1:25" x14ac:dyDescent="0.3">
      <c r="A125" t="s">
        <v>154</v>
      </c>
      <c r="B125" t="s">
        <v>18</v>
      </c>
      <c r="C125">
        <f t="shared" si="8"/>
        <v>1</v>
      </c>
      <c r="D125" t="s">
        <v>25</v>
      </c>
      <c r="E125">
        <f t="shared" si="9"/>
        <v>1</v>
      </c>
      <c r="F125">
        <v>2</v>
      </c>
      <c r="G125" t="s">
        <v>20</v>
      </c>
      <c r="H125">
        <f t="shared" si="10"/>
        <v>1</v>
      </c>
      <c r="I125" t="s">
        <v>19</v>
      </c>
      <c r="J125">
        <f t="shared" si="11"/>
        <v>0</v>
      </c>
      <c r="K125">
        <v>2957</v>
      </c>
      <c r="L125">
        <v>0</v>
      </c>
      <c r="M125">
        <v>81000</v>
      </c>
      <c r="N125">
        <v>360</v>
      </c>
      <c r="O125">
        <v>1</v>
      </c>
      <c r="P125" t="s">
        <v>35</v>
      </c>
      <c r="Q125">
        <f t="shared" si="12"/>
        <v>0</v>
      </c>
      <c r="R125">
        <f t="shared" si="13"/>
        <v>1</v>
      </c>
      <c r="S125">
        <f t="shared" si="14"/>
        <v>0</v>
      </c>
      <c r="T125" t="s">
        <v>22</v>
      </c>
      <c r="U125">
        <f t="shared" si="15"/>
        <v>1</v>
      </c>
      <c r="V125">
        <v>7.9922686432707453</v>
      </c>
      <c r="W125">
        <v>0</v>
      </c>
      <c r="X125">
        <v>11.302204433654575</v>
      </c>
      <c r="Y125" t="s">
        <v>23</v>
      </c>
    </row>
    <row r="126" spans="1:25" x14ac:dyDescent="0.3">
      <c r="A126" t="s">
        <v>155</v>
      </c>
      <c r="B126" t="s">
        <v>18</v>
      </c>
      <c r="C126">
        <f t="shared" si="8"/>
        <v>1</v>
      </c>
      <c r="D126" t="s">
        <v>25</v>
      </c>
      <c r="E126">
        <f t="shared" si="9"/>
        <v>1</v>
      </c>
      <c r="F126">
        <v>0</v>
      </c>
      <c r="G126" t="s">
        <v>30</v>
      </c>
      <c r="H126">
        <f t="shared" si="10"/>
        <v>0</v>
      </c>
      <c r="I126" t="s">
        <v>19</v>
      </c>
      <c r="J126">
        <f t="shared" si="11"/>
        <v>0</v>
      </c>
      <c r="K126">
        <v>4300</v>
      </c>
      <c r="L126">
        <v>2014</v>
      </c>
      <c r="M126">
        <v>194000</v>
      </c>
      <c r="N126">
        <v>360</v>
      </c>
      <c r="O126">
        <v>1</v>
      </c>
      <c r="P126" t="s">
        <v>26</v>
      </c>
      <c r="Q126">
        <f t="shared" si="12"/>
        <v>0</v>
      </c>
      <c r="R126">
        <f t="shared" si="13"/>
        <v>0</v>
      </c>
      <c r="S126">
        <f t="shared" si="14"/>
        <v>1</v>
      </c>
      <c r="T126" t="s">
        <v>22</v>
      </c>
      <c r="U126">
        <f t="shared" si="15"/>
        <v>1</v>
      </c>
      <c r="V126">
        <v>8.3666028327837356</v>
      </c>
      <c r="W126">
        <v>7.6083744743807831</v>
      </c>
      <c r="X126">
        <v>12.175613438045465</v>
      </c>
      <c r="Y126" t="s">
        <v>23</v>
      </c>
    </row>
    <row r="127" spans="1:25" x14ac:dyDescent="0.3">
      <c r="A127" t="s">
        <v>156</v>
      </c>
      <c r="B127" t="s">
        <v>48</v>
      </c>
      <c r="C127">
        <f t="shared" si="8"/>
        <v>0</v>
      </c>
      <c r="D127" t="s">
        <v>19</v>
      </c>
      <c r="E127">
        <f t="shared" si="9"/>
        <v>0</v>
      </c>
      <c r="F127">
        <v>0</v>
      </c>
      <c r="G127" t="s">
        <v>20</v>
      </c>
      <c r="H127">
        <f t="shared" si="10"/>
        <v>1</v>
      </c>
      <c r="I127" t="s">
        <v>19</v>
      </c>
      <c r="J127">
        <f t="shared" si="11"/>
        <v>0</v>
      </c>
      <c r="K127">
        <v>3692</v>
      </c>
      <c r="L127">
        <v>0</v>
      </c>
      <c r="M127">
        <v>93000</v>
      </c>
      <c r="N127">
        <v>360</v>
      </c>
      <c r="O127">
        <v>1</v>
      </c>
      <c r="P127" t="s">
        <v>26</v>
      </c>
      <c r="Q127">
        <f t="shared" si="12"/>
        <v>0</v>
      </c>
      <c r="R127">
        <f t="shared" si="13"/>
        <v>0</v>
      </c>
      <c r="S127">
        <f t="shared" si="14"/>
        <v>1</v>
      </c>
      <c r="T127" t="s">
        <v>22</v>
      </c>
      <c r="U127">
        <f t="shared" si="15"/>
        <v>1</v>
      </c>
      <c r="V127">
        <v>8.2141944148525639</v>
      </c>
      <c r="W127">
        <v>0</v>
      </c>
      <c r="X127">
        <v>11.440354772135393</v>
      </c>
      <c r="Y127" t="s">
        <v>23</v>
      </c>
    </row>
    <row r="128" spans="1:25" x14ac:dyDescent="0.3">
      <c r="A128" t="s">
        <v>157</v>
      </c>
      <c r="B128" t="s">
        <v>18</v>
      </c>
      <c r="C128">
        <f t="shared" si="8"/>
        <v>1</v>
      </c>
      <c r="D128" t="s">
        <v>25</v>
      </c>
      <c r="E128">
        <f t="shared" si="9"/>
        <v>1</v>
      </c>
      <c r="F128">
        <v>3</v>
      </c>
      <c r="G128" t="s">
        <v>20</v>
      </c>
      <c r="H128">
        <f t="shared" si="10"/>
        <v>1</v>
      </c>
      <c r="I128" t="s">
        <v>19</v>
      </c>
      <c r="J128">
        <f t="shared" si="11"/>
        <v>0</v>
      </c>
      <c r="K128">
        <v>23803</v>
      </c>
      <c r="L128">
        <v>0</v>
      </c>
      <c r="M128">
        <v>370000</v>
      </c>
      <c r="N128">
        <v>360</v>
      </c>
      <c r="O128">
        <v>1</v>
      </c>
      <c r="P128" t="s">
        <v>26</v>
      </c>
      <c r="Q128">
        <f t="shared" si="12"/>
        <v>0</v>
      </c>
      <c r="R128">
        <f t="shared" si="13"/>
        <v>0</v>
      </c>
      <c r="S128">
        <f t="shared" si="14"/>
        <v>1</v>
      </c>
      <c r="T128" t="s">
        <v>22</v>
      </c>
      <c r="U128">
        <f t="shared" si="15"/>
        <v>1</v>
      </c>
      <c r="V128">
        <v>10.07760891276474</v>
      </c>
      <c r="W128">
        <v>0</v>
      </c>
      <c r="X128">
        <v>12.821258284620408</v>
      </c>
      <c r="Y128" t="s">
        <v>23</v>
      </c>
    </row>
    <row r="129" spans="1:25" x14ac:dyDescent="0.3">
      <c r="A129" t="s">
        <v>158</v>
      </c>
      <c r="B129" t="s">
        <v>18</v>
      </c>
      <c r="C129">
        <f t="shared" si="8"/>
        <v>1</v>
      </c>
      <c r="D129" t="s">
        <v>19</v>
      </c>
      <c r="E129">
        <f t="shared" si="9"/>
        <v>0</v>
      </c>
      <c r="F129">
        <v>0</v>
      </c>
      <c r="G129" t="s">
        <v>20</v>
      </c>
      <c r="H129">
        <f t="shared" si="10"/>
        <v>1</v>
      </c>
      <c r="I129" t="s">
        <v>19</v>
      </c>
      <c r="J129">
        <f t="shared" si="11"/>
        <v>0</v>
      </c>
      <c r="K129">
        <v>3865</v>
      </c>
      <c r="L129">
        <v>1640</v>
      </c>
      <c r="M129">
        <v>128000</v>
      </c>
      <c r="N129">
        <v>360</v>
      </c>
      <c r="O129">
        <v>1</v>
      </c>
      <c r="P129" t="s">
        <v>26</v>
      </c>
      <c r="Q129">
        <f t="shared" si="12"/>
        <v>0</v>
      </c>
      <c r="R129">
        <f t="shared" si="13"/>
        <v>0</v>
      </c>
      <c r="S129">
        <f t="shared" si="14"/>
        <v>1</v>
      </c>
      <c r="T129" t="s">
        <v>22</v>
      </c>
      <c r="U129">
        <f t="shared" si="15"/>
        <v>1</v>
      </c>
      <c r="V129">
        <v>8.2599756597682763</v>
      </c>
      <c r="W129">
        <v>7.4030610910900911</v>
      </c>
      <c r="X129">
        <v>11.759785542901755</v>
      </c>
      <c r="Y129" t="s">
        <v>23</v>
      </c>
    </row>
    <row r="130" spans="1:25" x14ac:dyDescent="0.3">
      <c r="A130" t="s">
        <v>159</v>
      </c>
      <c r="B130" t="s">
        <v>18</v>
      </c>
      <c r="C130">
        <f t="shared" si="8"/>
        <v>1</v>
      </c>
      <c r="D130" t="s">
        <v>25</v>
      </c>
      <c r="E130">
        <f t="shared" si="9"/>
        <v>1</v>
      </c>
      <c r="F130">
        <v>1</v>
      </c>
      <c r="G130" t="s">
        <v>20</v>
      </c>
      <c r="H130">
        <f t="shared" si="10"/>
        <v>1</v>
      </c>
      <c r="I130" t="s">
        <v>25</v>
      </c>
      <c r="J130">
        <f t="shared" si="11"/>
        <v>1</v>
      </c>
      <c r="K130">
        <v>10513</v>
      </c>
      <c r="L130">
        <v>3850</v>
      </c>
      <c r="M130">
        <v>160000</v>
      </c>
      <c r="N130">
        <v>180</v>
      </c>
      <c r="O130">
        <v>0</v>
      </c>
      <c r="P130" t="s">
        <v>21</v>
      </c>
      <c r="Q130">
        <f t="shared" si="12"/>
        <v>1</v>
      </c>
      <c r="R130">
        <f t="shared" si="13"/>
        <v>0</v>
      </c>
      <c r="S130">
        <f t="shared" si="14"/>
        <v>0</v>
      </c>
      <c r="T130" t="s">
        <v>27</v>
      </c>
      <c r="U130">
        <f t="shared" si="15"/>
        <v>0</v>
      </c>
      <c r="V130">
        <v>9.2604629813793942</v>
      </c>
      <c r="W130">
        <v>8.2560881338149095</v>
      </c>
      <c r="X130">
        <v>11.982929094215963</v>
      </c>
      <c r="Y130" t="s">
        <v>46</v>
      </c>
    </row>
    <row r="131" spans="1:25" x14ac:dyDescent="0.3">
      <c r="A131" t="s">
        <v>160</v>
      </c>
      <c r="B131" t="s">
        <v>18</v>
      </c>
      <c r="C131">
        <f t="shared" ref="C131:C194" si="16">IF(B131="Male",1,0)</f>
        <v>1</v>
      </c>
      <c r="D131" t="s">
        <v>25</v>
      </c>
      <c r="E131">
        <f t="shared" ref="E131:E194" si="17">IF(D131="No",0,1)</f>
        <v>1</v>
      </c>
      <c r="F131">
        <v>0</v>
      </c>
      <c r="G131" t="s">
        <v>20</v>
      </c>
      <c r="H131">
        <f t="shared" ref="H131:H194" si="18">IF(G131="Graduate",1,0)</f>
        <v>1</v>
      </c>
      <c r="I131" t="s">
        <v>19</v>
      </c>
      <c r="J131">
        <f t="shared" ref="J131:J194" si="19">IF(I131="No",0,1)</f>
        <v>0</v>
      </c>
      <c r="K131">
        <v>6080</v>
      </c>
      <c r="L131">
        <v>2569</v>
      </c>
      <c r="M131">
        <v>182000</v>
      </c>
      <c r="N131">
        <v>360</v>
      </c>
      <c r="O131">
        <v>1</v>
      </c>
      <c r="P131" t="s">
        <v>26</v>
      </c>
      <c r="Q131">
        <f t="shared" ref="Q131:Q194" si="20">IF(P131="Urban",1,0)</f>
        <v>0</v>
      </c>
      <c r="R131">
        <f t="shared" ref="R131:R194" si="21">IF(P131="Semiurban",1,0)</f>
        <v>0</v>
      </c>
      <c r="S131">
        <f t="shared" ref="S131:S194" si="22">IF(P131="Rural",1,0)</f>
        <v>1</v>
      </c>
      <c r="T131" t="s">
        <v>27</v>
      </c>
      <c r="U131">
        <f t="shared" ref="U131:U194" si="23">IF(T131="Y",1,0)</f>
        <v>0</v>
      </c>
      <c r="V131">
        <v>8.7129244351201098</v>
      </c>
      <c r="W131">
        <v>7.8516611778892651</v>
      </c>
      <c r="X131">
        <v>12.111761966058932</v>
      </c>
      <c r="Y131" t="s">
        <v>23</v>
      </c>
    </row>
    <row r="132" spans="1:25" x14ac:dyDescent="0.3">
      <c r="A132" t="s">
        <v>161</v>
      </c>
      <c r="B132" t="s">
        <v>18</v>
      </c>
      <c r="C132">
        <f t="shared" si="16"/>
        <v>1</v>
      </c>
      <c r="D132" t="s">
        <v>19</v>
      </c>
      <c r="E132">
        <f t="shared" si="17"/>
        <v>0</v>
      </c>
      <c r="F132">
        <v>0</v>
      </c>
      <c r="G132" t="s">
        <v>20</v>
      </c>
      <c r="H132">
        <f t="shared" si="18"/>
        <v>1</v>
      </c>
      <c r="I132" t="s">
        <v>25</v>
      </c>
      <c r="J132">
        <f t="shared" si="19"/>
        <v>1</v>
      </c>
      <c r="K132">
        <v>20166</v>
      </c>
      <c r="L132">
        <v>0</v>
      </c>
      <c r="M132">
        <v>650000</v>
      </c>
      <c r="N132">
        <v>480</v>
      </c>
      <c r="O132">
        <v>1</v>
      </c>
      <c r="P132" t="s">
        <v>21</v>
      </c>
      <c r="Q132">
        <f t="shared" si="20"/>
        <v>1</v>
      </c>
      <c r="R132">
        <f t="shared" si="21"/>
        <v>0</v>
      </c>
      <c r="S132">
        <f t="shared" si="22"/>
        <v>0</v>
      </c>
      <c r="T132" t="s">
        <v>22</v>
      </c>
      <c r="U132">
        <f t="shared" si="23"/>
        <v>1</v>
      </c>
      <c r="V132">
        <v>9.911802884139842</v>
      </c>
      <c r="W132">
        <v>0</v>
      </c>
      <c r="X132">
        <v>13.38472764187182</v>
      </c>
      <c r="Y132" t="s">
        <v>23</v>
      </c>
    </row>
    <row r="133" spans="1:25" x14ac:dyDescent="0.3">
      <c r="A133" t="s">
        <v>162</v>
      </c>
      <c r="B133" t="s">
        <v>18</v>
      </c>
      <c r="C133">
        <f t="shared" si="16"/>
        <v>1</v>
      </c>
      <c r="D133" t="s">
        <v>19</v>
      </c>
      <c r="E133">
        <f t="shared" si="17"/>
        <v>0</v>
      </c>
      <c r="F133">
        <v>0</v>
      </c>
      <c r="G133" t="s">
        <v>20</v>
      </c>
      <c r="H133">
        <f t="shared" si="18"/>
        <v>1</v>
      </c>
      <c r="I133" t="s">
        <v>19</v>
      </c>
      <c r="J133">
        <f t="shared" si="19"/>
        <v>0</v>
      </c>
      <c r="K133">
        <v>2014</v>
      </c>
      <c r="L133">
        <v>1929</v>
      </c>
      <c r="M133">
        <v>74000</v>
      </c>
      <c r="N133">
        <v>360</v>
      </c>
      <c r="O133">
        <v>1</v>
      </c>
      <c r="P133" t="s">
        <v>21</v>
      </c>
      <c r="Q133">
        <f t="shared" si="20"/>
        <v>1</v>
      </c>
      <c r="R133">
        <f t="shared" si="21"/>
        <v>0</v>
      </c>
      <c r="S133">
        <f t="shared" si="22"/>
        <v>0</v>
      </c>
      <c r="T133" t="s">
        <v>22</v>
      </c>
      <c r="U133">
        <f t="shared" si="23"/>
        <v>1</v>
      </c>
      <c r="V133">
        <v>7.6083744743807831</v>
      </c>
      <c r="W133">
        <v>7.5652752818989324</v>
      </c>
      <c r="X133">
        <v>11.211820372186306</v>
      </c>
      <c r="Y133" t="s">
        <v>23</v>
      </c>
    </row>
    <row r="134" spans="1:25" x14ac:dyDescent="0.3">
      <c r="A134" t="s">
        <v>163</v>
      </c>
      <c r="B134" t="s">
        <v>18</v>
      </c>
      <c r="C134">
        <f t="shared" si="16"/>
        <v>1</v>
      </c>
      <c r="D134" t="s">
        <v>19</v>
      </c>
      <c r="E134">
        <f t="shared" si="17"/>
        <v>0</v>
      </c>
      <c r="F134">
        <v>0</v>
      </c>
      <c r="G134" t="s">
        <v>20</v>
      </c>
      <c r="H134">
        <f t="shared" si="18"/>
        <v>1</v>
      </c>
      <c r="I134" t="s">
        <v>19</v>
      </c>
      <c r="J134">
        <f t="shared" si="19"/>
        <v>0</v>
      </c>
      <c r="K134">
        <v>2718</v>
      </c>
      <c r="L134">
        <v>0</v>
      </c>
      <c r="M134">
        <v>70000</v>
      </c>
      <c r="N134">
        <v>360</v>
      </c>
      <c r="O134">
        <v>1</v>
      </c>
      <c r="P134" t="s">
        <v>35</v>
      </c>
      <c r="Q134">
        <f t="shared" si="20"/>
        <v>0</v>
      </c>
      <c r="R134">
        <f t="shared" si="21"/>
        <v>1</v>
      </c>
      <c r="S134">
        <f t="shared" si="22"/>
        <v>0</v>
      </c>
      <c r="T134" t="s">
        <v>22</v>
      </c>
      <c r="U134">
        <f t="shared" si="23"/>
        <v>1</v>
      </c>
      <c r="V134">
        <v>7.9080194446324708</v>
      </c>
      <c r="W134">
        <v>0</v>
      </c>
      <c r="X134">
        <v>11.156250521031495</v>
      </c>
      <c r="Y134" t="s">
        <v>23</v>
      </c>
    </row>
    <row r="135" spans="1:25" x14ac:dyDescent="0.3">
      <c r="A135" t="s">
        <v>164</v>
      </c>
      <c r="B135" t="s">
        <v>18</v>
      </c>
      <c r="C135">
        <f t="shared" si="16"/>
        <v>1</v>
      </c>
      <c r="D135" t="s">
        <v>25</v>
      </c>
      <c r="E135">
        <f t="shared" si="17"/>
        <v>1</v>
      </c>
      <c r="F135">
        <v>0</v>
      </c>
      <c r="G135" t="s">
        <v>20</v>
      </c>
      <c r="H135">
        <f t="shared" si="18"/>
        <v>1</v>
      </c>
      <c r="I135" t="s">
        <v>25</v>
      </c>
      <c r="J135">
        <f t="shared" si="19"/>
        <v>1</v>
      </c>
      <c r="K135">
        <v>3459</v>
      </c>
      <c r="L135">
        <v>0</v>
      </c>
      <c r="M135">
        <v>25000</v>
      </c>
      <c r="N135">
        <v>120</v>
      </c>
      <c r="O135">
        <v>1</v>
      </c>
      <c r="P135" t="s">
        <v>35</v>
      </c>
      <c r="Q135">
        <f t="shared" si="20"/>
        <v>0</v>
      </c>
      <c r="R135">
        <f t="shared" si="21"/>
        <v>1</v>
      </c>
      <c r="S135">
        <f t="shared" si="22"/>
        <v>0</v>
      </c>
      <c r="T135" t="s">
        <v>22</v>
      </c>
      <c r="U135">
        <f t="shared" si="23"/>
        <v>1</v>
      </c>
      <c r="V135">
        <v>8.1490238680517706</v>
      </c>
      <c r="W135">
        <v>0</v>
      </c>
      <c r="X135">
        <v>10.126631103850338</v>
      </c>
      <c r="Y135" t="s">
        <v>43</v>
      </c>
    </row>
    <row r="136" spans="1:25" x14ac:dyDescent="0.3">
      <c r="A136" t="s">
        <v>165</v>
      </c>
      <c r="B136" t="s">
        <v>18</v>
      </c>
      <c r="C136">
        <f t="shared" si="16"/>
        <v>1</v>
      </c>
      <c r="D136" t="s">
        <v>19</v>
      </c>
      <c r="E136">
        <f t="shared" si="17"/>
        <v>0</v>
      </c>
      <c r="F136">
        <v>0</v>
      </c>
      <c r="G136" t="s">
        <v>20</v>
      </c>
      <c r="H136">
        <f t="shared" si="18"/>
        <v>1</v>
      </c>
      <c r="I136" t="s">
        <v>19</v>
      </c>
      <c r="J136">
        <f t="shared" si="19"/>
        <v>0</v>
      </c>
      <c r="K136">
        <v>4895</v>
      </c>
      <c r="L136">
        <v>0</v>
      </c>
      <c r="M136">
        <v>102000</v>
      </c>
      <c r="N136">
        <v>360</v>
      </c>
      <c r="O136">
        <v>1</v>
      </c>
      <c r="P136" t="s">
        <v>35</v>
      </c>
      <c r="Q136">
        <f t="shared" si="20"/>
        <v>0</v>
      </c>
      <c r="R136">
        <f t="shared" si="21"/>
        <v>1</v>
      </c>
      <c r="S136">
        <f t="shared" si="22"/>
        <v>0</v>
      </c>
      <c r="T136" t="s">
        <v>22</v>
      </c>
      <c r="U136">
        <f t="shared" si="23"/>
        <v>1</v>
      </c>
      <c r="V136">
        <v>8.4961738241921623</v>
      </c>
      <c r="W136">
        <v>0</v>
      </c>
      <c r="X136">
        <v>11.532728092266408</v>
      </c>
      <c r="Y136" t="s">
        <v>23</v>
      </c>
    </row>
    <row r="137" spans="1:25" x14ac:dyDescent="0.3">
      <c r="A137" t="s">
        <v>166</v>
      </c>
      <c r="B137" t="s">
        <v>18</v>
      </c>
      <c r="C137">
        <f t="shared" si="16"/>
        <v>1</v>
      </c>
      <c r="D137" t="s">
        <v>25</v>
      </c>
      <c r="E137">
        <f t="shared" si="17"/>
        <v>1</v>
      </c>
      <c r="F137">
        <v>3</v>
      </c>
      <c r="G137" t="s">
        <v>20</v>
      </c>
      <c r="H137">
        <f t="shared" si="18"/>
        <v>1</v>
      </c>
      <c r="I137" t="s">
        <v>19</v>
      </c>
      <c r="J137">
        <f t="shared" si="19"/>
        <v>0</v>
      </c>
      <c r="K137">
        <v>4000</v>
      </c>
      <c r="L137">
        <v>7750</v>
      </c>
      <c r="M137">
        <v>290000</v>
      </c>
      <c r="N137">
        <v>360</v>
      </c>
      <c r="O137">
        <v>1</v>
      </c>
      <c r="P137" t="s">
        <v>35</v>
      </c>
      <c r="Q137">
        <f t="shared" si="20"/>
        <v>0</v>
      </c>
      <c r="R137">
        <f t="shared" si="21"/>
        <v>1</v>
      </c>
      <c r="S137">
        <f t="shared" si="22"/>
        <v>0</v>
      </c>
      <c r="T137" t="s">
        <v>27</v>
      </c>
      <c r="U137">
        <f t="shared" si="23"/>
        <v>0</v>
      </c>
      <c r="V137">
        <v>8.2942996088572354</v>
      </c>
      <c r="W137">
        <v>8.9555771462815112</v>
      </c>
      <c r="X137">
        <v>12.577636201962656</v>
      </c>
      <c r="Y137" t="s">
        <v>23</v>
      </c>
    </row>
    <row r="138" spans="1:25" x14ac:dyDescent="0.3">
      <c r="A138" t="s">
        <v>167</v>
      </c>
      <c r="B138" t="s">
        <v>48</v>
      </c>
      <c r="C138">
        <f t="shared" si="16"/>
        <v>0</v>
      </c>
      <c r="D138" t="s">
        <v>25</v>
      </c>
      <c r="E138">
        <f t="shared" si="17"/>
        <v>1</v>
      </c>
      <c r="F138">
        <v>0</v>
      </c>
      <c r="G138" t="s">
        <v>20</v>
      </c>
      <c r="H138">
        <f t="shared" si="18"/>
        <v>1</v>
      </c>
      <c r="I138" t="s">
        <v>19</v>
      </c>
      <c r="J138">
        <f t="shared" si="19"/>
        <v>0</v>
      </c>
      <c r="K138">
        <v>4583</v>
      </c>
      <c r="L138">
        <v>0</v>
      </c>
      <c r="M138">
        <v>84000</v>
      </c>
      <c r="N138">
        <v>360</v>
      </c>
      <c r="O138">
        <v>1</v>
      </c>
      <c r="P138" t="s">
        <v>26</v>
      </c>
      <c r="Q138">
        <f t="shared" si="20"/>
        <v>0</v>
      </c>
      <c r="R138">
        <f t="shared" si="21"/>
        <v>0</v>
      </c>
      <c r="S138">
        <f t="shared" si="22"/>
        <v>1</v>
      </c>
      <c r="T138" t="s">
        <v>27</v>
      </c>
      <c r="U138">
        <f t="shared" si="23"/>
        <v>0</v>
      </c>
      <c r="V138">
        <v>8.4303272583945752</v>
      </c>
      <c r="W138">
        <v>0</v>
      </c>
      <c r="X138">
        <v>11.33857207782545</v>
      </c>
      <c r="Y138" t="s">
        <v>23</v>
      </c>
    </row>
    <row r="139" spans="1:25" x14ac:dyDescent="0.3">
      <c r="A139" t="s">
        <v>168</v>
      </c>
      <c r="B139" t="s">
        <v>18</v>
      </c>
      <c r="C139">
        <f t="shared" si="16"/>
        <v>1</v>
      </c>
      <c r="D139" t="s">
        <v>25</v>
      </c>
      <c r="E139">
        <f t="shared" si="17"/>
        <v>1</v>
      </c>
      <c r="F139">
        <v>2</v>
      </c>
      <c r="G139" t="s">
        <v>20</v>
      </c>
      <c r="H139">
        <f t="shared" si="18"/>
        <v>1</v>
      </c>
      <c r="I139" t="s">
        <v>25</v>
      </c>
      <c r="J139">
        <f t="shared" si="19"/>
        <v>1</v>
      </c>
      <c r="K139">
        <v>3316</v>
      </c>
      <c r="L139">
        <v>3500</v>
      </c>
      <c r="M139">
        <v>88000</v>
      </c>
      <c r="N139">
        <v>360</v>
      </c>
      <c r="O139">
        <v>1</v>
      </c>
      <c r="P139" t="s">
        <v>21</v>
      </c>
      <c r="Q139">
        <f t="shared" si="20"/>
        <v>1</v>
      </c>
      <c r="R139">
        <f t="shared" si="21"/>
        <v>0</v>
      </c>
      <c r="S139">
        <f t="shared" si="22"/>
        <v>0</v>
      </c>
      <c r="T139" t="s">
        <v>22</v>
      </c>
      <c r="U139">
        <f t="shared" si="23"/>
        <v>1</v>
      </c>
      <c r="V139">
        <v>8.106816038947052</v>
      </c>
      <c r="W139">
        <v>8.160803920954665</v>
      </c>
      <c r="X139">
        <v>11.385092093460344</v>
      </c>
      <c r="Y139" t="s">
        <v>23</v>
      </c>
    </row>
    <row r="140" spans="1:25" x14ac:dyDescent="0.3">
      <c r="A140" t="s">
        <v>169</v>
      </c>
      <c r="B140" t="s">
        <v>18</v>
      </c>
      <c r="C140">
        <f t="shared" si="16"/>
        <v>1</v>
      </c>
      <c r="D140" t="s">
        <v>19</v>
      </c>
      <c r="E140">
        <f t="shared" si="17"/>
        <v>0</v>
      </c>
      <c r="F140">
        <v>0</v>
      </c>
      <c r="G140" t="s">
        <v>20</v>
      </c>
      <c r="H140">
        <f t="shared" si="18"/>
        <v>1</v>
      </c>
      <c r="I140" t="s">
        <v>19</v>
      </c>
      <c r="J140">
        <f t="shared" si="19"/>
        <v>0</v>
      </c>
      <c r="K140">
        <v>14999</v>
      </c>
      <c r="L140">
        <v>0</v>
      </c>
      <c r="M140">
        <v>242000</v>
      </c>
      <c r="N140">
        <v>360</v>
      </c>
      <c r="O140">
        <v>0</v>
      </c>
      <c r="P140" t="s">
        <v>35</v>
      </c>
      <c r="Q140">
        <f t="shared" si="20"/>
        <v>0</v>
      </c>
      <c r="R140">
        <f t="shared" si="21"/>
        <v>1</v>
      </c>
      <c r="S140">
        <f t="shared" si="22"/>
        <v>0</v>
      </c>
      <c r="T140" t="s">
        <v>27</v>
      </c>
      <c r="U140">
        <f t="shared" si="23"/>
        <v>0</v>
      </c>
      <c r="V140">
        <v>9.6158054800843473</v>
      </c>
      <c r="W140">
        <v>0</v>
      </c>
      <c r="X140">
        <v>12.396693005138824</v>
      </c>
      <c r="Y140" t="s">
        <v>23</v>
      </c>
    </row>
    <row r="141" spans="1:25" x14ac:dyDescent="0.3">
      <c r="A141" t="s">
        <v>170</v>
      </c>
      <c r="B141" t="s">
        <v>18</v>
      </c>
      <c r="C141">
        <f t="shared" si="16"/>
        <v>1</v>
      </c>
      <c r="D141" t="s">
        <v>25</v>
      </c>
      <c r="E141">
        <f t="shared" si="17"/>
        <v>1</v>
      </c>
      <c r="F141">
        <v>2</v>
      </c>
      <c r="G141" t="s">
        <v>30</v>
      </c>
      <c r="H141">
        <f t="shared" si="18"/>
        <v>0</v>
      </c>
      <c r="I141" t="s">
        <v>19</v>
      </c>
      <c r="J141">
        <f t="shared" si="19"/>
        <v>0</v>
      </c>
      <c r="K141">
        <v>4200</v>
      </c>
      <c r="L141">
        <v>1430</v>
      </c>
      <c r="M141">
        <v>129000</v>
      </c>
      <c r="N141">
        <v>360</v>
      </c>
      <c r="O141">
        <v>1</v>
      </c>
      <c r="P141" t="s">
        <v>26</v>
      </c>
      <c r="Q141">
        <f t="shared" si="20"/>
        <v>0</v>
      </c>
      <c r="R141">
        <f t="shared" si="21"/>
        <v>0</v>
      </c>
      <c r="S141">
        <f t="shared" si="22"/>
        <v>1</v>
      </c>
      <c r="T141" t="s">
        <v>27</v>
      </c>
      <c r="U141">
        <f t="shared" si="23"/>
        <v>0</v>
      </c>
      <c r="V141">
        <v>8.3430778711693829</v>
      </c>
      <c r="W141">
        <v>7.2661287795564506</v>
      </c>
      <c r="X141">
        <v>11.76756768334381</v>
      </c>
      <c r="Y141" t="s">
        <v>23</v>
      </c>
    </row>
    <row r="142" spans="1:25" x14ac:dyDescent="0.3">
      <c r="A142" t="s">
        <v>171</v>
      </c>
      <c r="B142" t="s">
        <v>18</v>
      </c>
      <c r="C142">
        <f t="shared" si="16"/>
        <v>1</v>
      </c>
      <c r="D142" t="s">
        <v>25</v>
      </c>
      <c r="E142">
        <f t="shared" si="17"/>
        <v>1</v>
      </c>
      <c r="F142">
        <v>2</v>
      </c>
      <c r="G142" t="s">
        <v>20</v>
      </c>
      <c r="H142">
        <f t="shared" si="18"/>
        <v>1</v>
      </c>
      <c r="I142" t="s">
        <v>19</v>
      </c>
      <c r="J142">
        <f t="shared" si="19"/>
        <v>0</v>
      </c>
      <c r="K142">
        <v>5042</v>
      </c>
      <c r="L142">
        <v>2083</v>
      </c>
      <c r="M142">
        <v>185000</v>
      </c>
      <c r="N142">
        <v>360</v>
      </c>
      <c r="O142">
        <v>1</v>
      </c>
      <c r="P142" t="s">
        <v>26</v>
      </c>
      <c r="Q142">
        <f t="shared" si="20"/>
        <v>0</v>
      </c>
      <c r="R142">
        <f t="shared" si="21"/>
        <v>0</v>
      </c>
      <c r="S142">
        <f t="shared" si="22"/>
        <v>1</v>
      </c>
      <c r="T142" t="s">
        <v>27</v>
      </c>
      <c r="U142">
        <f t="shared" si="23"/>
        <v>0</v>
      </c>
      <c r="V142">
        <v>8.525756422076725</v>
      </c>
      <c r="W142">
        <v>7.6420444028732577</v>
      </c>
      <c r="X142">
        <v>12.128111104060462</v>
      </c>
      <c r="Y142" t="s">
        <v>23</v>
      </c>
    </row>
    <row r="143" spans="1:25" x14ac:dyDescent="0.3">
      <c r="A143" t="s">
        <v>172</v>
      </c>
      <c r="B143" t="s">
        <v>18</v>
      </c>
      <c r="C143">
        <f t="shared" si="16"/>
        <v>1</v>
      </c>
      <c r="D143" t="s">
        <v>19</v>
      </c>
      <c r="E143">
        <f t="shared" si="17"/>
        <v>0</v>
      </c>
      <c r="F143">
        <v>0</v>
      </c>
      <c r="G143" t="s">
        <v>20</v>
      </c>
      <c r="H143">
        <f t="shared" si="18"/>
        <v>1</v>
      </c>
      <c r="I143" t="s">
        <v>19</v>
      </c>
      <c r="J143">
        <f t="shared" si="19"/>
        <v>0</v>
      </c>
      <c r="K143">
        <v>5417</v>
      </c>
      <c r="L143">
        <v>0</v>
      </c>
      <c r="M143">
        <v>168000</v>
      </c>
      <c r="N143">
        <v>360</v>
      </c>
      <c r="O143">
        <v>1</v>
      </c>
      <c r="P143" t="s">
        <v>21</v>
      </c>
      <c r="Q143">
        <f t="shared" si="20"/>
        <v>1</v>
      </c>
      <c r="R143">
        <f t="shared" si="21"/>
        <v>0</v>
      </c>
      <c r="S143">
        <f t="shared" si="22"/>
        <v>0</v>
      </c>
      <c r="T143" t="s">
        <v>22</v>
      </c>
      <c r="U143">
        <f t="shared" si="23"/>
        <v>1</v>
      </c>
      <c r="V143">
        <v>8.5974820226450408</v>
      </c>
      <c r="W143">
        <v>0</v>
      </c>
      <c r="X143">
        <v>12.031719258385396</v>
      </c>
      <c r="Y143" t="s">
        <v>23</v>
      </c>
    </row>
    <row r="144" spans="1:25" x14ac:dyDescent="0.3">
      <c r="A144" t="s">
        <v>173</v>
      </c>
      <c r="B144" t="s">
        <v>18</v>
      </c>
      <c r="C144">
        <f t="shared" si="16"/>
        <v>1</v>
      </c>
      <c r="D144" t="s">
        <v>19</v>
      </c>
      <c r="E144">
        <f t="shared" si="17"/>
        <v>0</v>
      </c>
      <c r="F144">
        <v>0</v>
      </c>
      <c r="G144" t="s">
        <v>20</v>
      </c>
      <c r="H144">
        <f t="shared" si="18"/>
        <v>1</v>
      </c>
      <c r="I144" t="s">
        <v>25</v>
      </c>
      <c r="J144">
        <f t="shared" si="19"/>
        <v>1</v>
      </c>
      <c r="K144">
        <v>6950</v>
      </c>
      <c r="L144">
        <v>0</v>
      </c>
      <c r="M144">
        <v>175000</v>
      </c>
      <c r="N144">
        <v>180</v>
      </c>
      <c r="O144">
        <v>1</v>
      </c>
      <c r="P144" t="s">
        <v>35</v>
      </c>
      <c r="Q144">
        <f t="shared" si="20"/>
        <v>0</v>
      </c>
      <c r="R144">
        <f t="shared" si="21"/>
        <v>1</v>
      </c>
      <c r="S144">
        <f t="shared" si="22"/>
        <v>0</v>
      </c>
      <c r="T144" t="s">
        <v>22</v>
      </c>
      <c r="U144">
        <f t="shared" si="23"/>
        <v>1</v>
      </c>
      <c r="V144">
        <v>8.8466408131004854</v>
      </c>
      <c r="W144">
        <v>0</v>
      </c>
      <c r="X144">
        <v>12.072541252905651</v>
      </c>
      <c r="Y144" t="s">
        <v>46</v>
      </c>
    </row>
    <row r="145" spans="1:25" x14ac:dyDescent="0.3">
      <c r="A145" t="s">
        <v>174</v>
      </c>
      <c r="B145" t="s">
        <v>18</v>
      </c>
      <c r="C145">
        <f t="shared" si="16"/>
        <v>1</v>
      </c>
      <c r="D145" t="s">
        <v>25</v>
      </c>
      <c r="E145">
        <f t="shared" si="17"/>
        <v>1</v>
      </c>
      <c r="F145">
        <v>0</v>
      </c>
      <c r="G145" t="s">
        <v>20</v>
      </c>
      <c r="H145">
        <f t="shared" si="18"/>
        <v>1</v>
      </c>
      <c r="I145" t="s">
        <v>19</v>
      </c>
      <c r="J145">
        <f t="shared" si="19"/>
        <v>0</v>
      </c>
      <c r="K145">
        <v>2698</v>
      </c>
      <c r="L145">
        <v>2034</v>
      </c>
      <c r="M145">
        <v>122000</v>
      </c>
      <c r="N145">
        <v>360</v>
      </c>
      <c r="O145">
        <v>1</v>
      </c>
      <c r="P145" t="s">
        <v>35</v>
      </c>
      <c r="Q145">
        <f t="shared" si="20"/>
        <v>0</v>
      </c>
      <c r="R145">
        <f t="shared" si="21"/>
        <v>1</v>
      </c>
      <c r="S145">
        <f t="shared" si="22"/>
        <v>0</v>
      </c>
      <c r="T145" t="s">
        <v>22</v>
      </c>
      <c r="U145">
        <f t="shared" si="23"/>
        <v>1</v>
      </c>
      <c r="V145">
        <v>7.9006366130180048</v>
      </c>
      <c r="W145">
        <v>7.6182510978766951</v>
      </c>
      <c r="X145">
        <v>11.711776323715394</v>
      </c>
      <c r="Y145" t="s">
        <v>23</v>
      </c>
    </row>
    <row r="146" spans="1:25" x14ac:dyDescent="0.3">
      <c r="A146" t="s">
        <v>175</v>
      </c>
      <c r="B146" t="s">
        <v>18</v>
      </c>
      <c r="C146">
        <f t="shared" si="16"/>
        <v>1</v>
      </c>
      <c r="D146" t="s">
        <v>25</v>
      </c>
      <c r="E146">
        <f t="shared" si="17"/>
        <v>1</v>
      </c>
      <c r="F146">
        <v>2</v>
      </c>
      <c r="G146" t="s">
        <v>20</v>
      </c>
      <c r="H146">
        <f t="shared" si="18"/>
        <v>1</v>
      </c>
      <c r="I146" t="s">
        <v>19</v>
      </c>
      <c r="J146">
        <f t="shared" si="19"/>
        <v>0</v>
      </c>
      <c r="K146">
        <v>11757</v>
      </c>
      <c r="L146">
        <v>0</v>
      </c>
      <c r="M146">
        <v>187000</v>
      </c>
      <c r="N146">
        <v>180</v>
      </c>
      <c r="O146">
        <v>1</v>
      </c>
      <c r="P146" t="s">
        <v>21</v>
      </c>
      <c r="Q146">
        <f t="shared" si="20"/>
        <v>1</v>
      </c>
      <c r="R146">
        <f t="shared" si="21"/>
        <v>0</v>
      </c>
      <c r="S146">
        <f t="shared" si="22"/>
        <v>0</v>
      </c>
      <c r="T146" t="s">
        <v>22</v>
      </c>
      <c r="U146">
        <f t="shared" si="23"/>
        <v>1</v>
      </c>
      <c r="V146">
        <v>9.3722891389622003</v>
      </c>
      <c r="W146">
        <v>0</v>
      </c>
      <c r="X146">
        <v>12.138863895836725</v>
      </c>
      <c r="Y146" t="s">
        <v>46</v>
      </c>
    </row>
    <row r="147" spans="1:25" x14ac:dyDescent="0.3">
      <c r="A147" t="s">
        <v>176</v>
      </c>
      <c r="B147" t="s">
        <v>48</v>
      </c>
      <c r="C147">
        <f t="shared" si="16"/>
        <v>0</v>
      </c>
      <c r="D147" t="s">
        <v>25</v>
      </c>
      <c r="E147">
        <f t="shared" si="17"/>
        <v>1</v>
      </c>
      <c r="F147">
        <v>0</v>
      </c>
      <c r="G147" t="s">
        <v>20</v>
      </c>
      <c r="H147">
        <f t="shared" si="18"/>
        <v>1</v>
      </c>
      <c r="I147" t="s">
        <v>19</v>
      </c>
      <c r="J147">
        <f t="shared" si="19"/>
        <v>0</v>
      </c>
      <c r="K147">
        <v>2330</v>
      </c>
      <c r="L147">
        <v>4486</v>
      </c>
      <c r="M147">
        <v>100000</v>
      </c>
      <c r="N147">
        <v>360</v>
      </c>
      <c r="O147">
        <v>1</v>
      </c>
      <c r="P147" t="s">
        <v>35</v>
      </c>
      <c r="Q147">
        <f t="shared" si="20"/>
        <v>0</v>
      </c>
      <c r="R147">
        <f t="shared" si="21"/>
        <v>1</v>
      </c>
      <c r="S147">
        <f t="shared" si="22"/>
        <v>0</v>
      </c>
      <c r="T147" t="s">
        <v>22</v>
      </c>
      <c r="U147">
        <f t="shared" si="23"/>
        <v>1</v>
      </c>
      <c r="V147">
        <v>7.7540526390357574</v>
      </c>
      <c r="W147">
        <v>8.4089396059759842</v>
      </c>
      <c r="X147">
        <v>11.512925464970229</v>
      </c>
      <c r="Y147" t="s">
        <v>23</v>
      </c>
    </row>
    <row r="148" spans="1:25" x14ac:dyDescent="0.3">
      <c r="A148" t="s">
        <v>177</v>
      </c>
      <c r="B148" t="s">
        <v>48</v>
      </c>
      <c r="C148">
        <f t="shared" si="16"/>
        <v>0</v>
      </c>
      <c r="D148" t="s">
        <v>25</v>
      </c>
      <c r="E148">
        <f t="shared" si="17"/>
        <v>1</v>
      </c>
      <c r="F148">
        <v>2</v>
      </c>
      <c r="G148" t="s">
        <v>20</v>
      </c>
      <c r="H148">
        <f t="shared" si="18"/>
        <v>1</v>
      </c>
      <c r="I148" t="s">
        <v>19</v>
      </c>
      <c r="J148">
        <f t="shared" si="19"/>
        <v>0</v>
      </c>
      <c r="K148">
        <v>14866</v>
      </c>
      <c r="L148">
        <v>0</v>
      </c>
      <c r="M148">
        <v>70000</v>
      </c>
      <c r="N148">
        <v>360</v>
      </c>
      <c r="O148">
        <v>1</v>
      </c>
      <c r="P148" t="s">
        <v>21</v>
      </c>
      <c r="Q148">
        <f t="shared" si="20"/>
        <v>1</v>
      </c>
      <c r="R148">
        <f t="shared" si="21"/>
        <v>0</v>
      </c>
      <c r="S148">
        <f t="shared" si="22"/>
        <v>0</v>
      </c>
      <c r="T148" t="s">
        <v>22</v>
      </c>
      <c r="U148">
        <f t="shared" si="23"/>
        <v>1</v>
      </c>
      <c r="V148">
        <v>9.6068992706133507</v>
      </c>
      <c r="W148">
        <v>0</v>
      </c>
      <c r="X148">
        <v>11.156250521031495</v>
      </c>
      <c r="Y148" t="s">
        <v>23</v>
      </c>
    </row>
    <row r="149" spans="1:25" x14ac:dyDescent="0.3">
      <c r="A149" t="s">
        <v>178</v>
      </c>
      <c r="B149" t="s">
        <v>18</v>
      </c>
      <c r="C149">
        <f t="shared" si="16"/>
        <v>1</v>
      </c>
      <c r="D149" t="s">
        <v>25</v>
      </c>
      <c r="E149">
        <f t="shared" si="17"/>
        <v>1</v>
      </c>
      <c r="F149">
        <v>1</v>
      </c>
      <c r="G149" t="s">
        <v>20</v>
      </c>
      <c r="H149">
        <f t="shared" si="18"/>
        <v>1</v>
      </c>
      <c r="I149" t="s">
        <v>19</v>
      </c>
      <c r="J149">
        <f t="shared" si="19"/>
        <v>0</v>
      </c>
      <c r="K149">
        <v>1538</v>
      </c>
      <c r="L149">
        <v>1425</v>
      </c>
      <c r="M149">
        <v>30000</v>
      </c>
      <c r="N149">
        <v>360</v>
      </c>
      <c r="O149">
        <v>1</v>
      </c>
      <c r="P149" t="s">
        <v>21</v>
      </c>
      <c r="Q149">
        <f t="shared" si="20"/>
        <v>1</v>
      </c>
      <c r="R149">
        <f t="shared" si="21"/>
        <v>0</v>
      </c>
      <c r="S149">
        <f t="shared" si="22"/>
        <v>0</v>
      </c>
      <c r="T149" t="s">
        <v>22</v>
      </c>
      <c r="U149">
        <f t="shared" si="23"/>
        <v>1</v>
      </c>
      <c r="V149">
        <v>7.3388881338388794</v>
      </c>
      <c r="W149">
        <v>7.2626286009742413</v>
      </c>
      <c r="X149">
        <v>10.308952660644293</v>
      </c>
      <c r="Y149" t="s">
        <v>23</v>
      </c>
    </row>
    <row r="150" spans="1:25" x14ac:dyDescent="0.3">
      <c r="A150" t="s">
        <v>179</v>
      </c>
      <c r="B150" t="s">
        <v>48</v>
      </c>
      <c r="C150">
        <f t="shared" si="16"/>
        <v>0</v>
      </c>
      <c r="D150" t="s">
        <v>19</v>
      </c>
      <c r="E150">
        <f t="shared" si="17"/>
        <v>0</v>
      </c>
      <c r="F150">
        <v>0</v>
      </c>
      <c r="G150" t="s">
        <v>20</v>
      </c>
      <c r="H150">
        <f t="shared" si="18"/>
        <v>1</v>
      </c>
      <c r="I150" t="s">
        <v>19</v>
      </c>
      <c r="J150">
        <f t="shared" si="19"/>
        <v>0</v>
      </c>
      <c r="K150">
        <v>10000</v>
      </c>
      <c r="L150">
        <v>1666</v>
      </c>
      <c r="M150">
        <v>225000</v>
      </c>
      <c r="N150">
        <v>360</v>
      </c>
      <c r="O150">
        <v>1</v>
      </c>
      <c r="P150" t="s">
        <v>26</v>
      </c>
      <c r="Q150">
        <f t="shared" si="20"/>
        <v>0</v>
      </c>
      <c r="R150">
        <f t="shared" si="21"/>
        <v>0</v>
      </c>
      <c r="S150">
        <f t="shared" si="22"/>
        <v>1</v>
      </c>
      <c r="T150" t="s">
        <v>27</v>
      </c>
      <c r="U150">
        <f t="shared" si="23"/>
        <v>0</v>
      </c>
      <c r="V150">
        <v>9.2104403669765169</v>
      </c>
      <c r="W150">
        <v>7.4187808827507942</v>
      </c>
      <c r="X150">
        <v>12.323855681186558</v>
      </c>
      <c r="Y150" t="s">
        <v>23</v>
      </c>
    </row>
    <row r="151" spans="1:25" x14ac:dyDescent="0.3">
      <c r="A151" t="s">
        <v>180</v>
      </c>
      <c r="B151" t="s">
        <v>18</v>
      </c>
      <c r="C151">
        <f t="shared" si="16"/>
        <v>1</v>
      </c>
      <c r="D151" t="s">
        <v>25</v>
      </c>
      <c r="E151">
        <f t="shared" si="17"/>
        <v>1</v>
      </c>
      <c r="F151">
        <v>0</v>
      </c>
      <c r="G151" t="s">
        <v>20</v>
      </c>
      <c r="H151">
        <f t="shared" si="18"/>
        <v>1</v>
      </c>
      <c r="I151" t="s">
        <v>19</v>
      </c>
      <c r="J151">
        <f t="shared" si="19"/>
        <v>0</v>
      </c>
      <c r="K151">
        <v>4860</v>
      </c>
      <c r="L151">
        <v>830</v>
      </c>
      <c r="M151">
        <v>125000</v>
      </c>
      <c r="N151">
        <v>360</v>
      </c>
      <c r="O151">
        <v>1</v>
      </c>
      <c r="P151" t="s">
        <v>35</v>
      </c>
      <c r="Q151">
        <f t="shared" si="20"/>
        <v>0</v>
      </c>
      <c r="R151">
        <f t="shared" si="21"/>
        <v>1</v>
      </c>
      <c r="S151">
        <f t="shared" si="22"/>
        <v>0</v>
      </c>
      <c r="T151" t="s">
        <v>22</v>
      </c>
      <c r="U151">
        <f t="shared" si="23"/>
        <v>1</v>
      </c>
      <c r="V151">
        <v>8.4889994570454554</v>
      </c>
      <c r="W151">
        <v>6.7226297948554494</v>
      </c>
      <c r="X151">
        <v>11.736069016284437</v>
      </c>
      <c r="Y151" t="s">
        <v>23</v>
      </c>
    </row>
    <row r="152" spans="1:25" x14ac:dyDescent="0.3">
      <c r="A152" t="s">
        <v>181</v>
      </c>
      <c r="B152" t="s">
        <v>18</v>
      </c>
      <c r="C152">
        <f t="shared" si="16"/>
        <v>1</v>
      </c>
      <c r="D152" t="s">
        <v>19</v>
      </c>
      <c r="E152">
        <f t="shared" si="17"/>
        <v>0</v>
      </c>
      <c r="F152">
        <v>0</v>
      </c>
      <c r="G152" t="s">
        <v>20</v>
      </c>
      <c r="H152">
        <f t="shared" si="18"/>
        <v>1</v>
      </c>
      <c r="I152" t="s">
        <v>19</v>
      </c>
      <c r="J152">
        <f t="shared" si="19"/>
        <v>0</v>
      </c>
      <c r="K152">
        <v>6277</v>
      </c>
      <c r="L152">
        <v>0</v>
      </c>
      <c r="M152">
        <v>118000</v>
      </c>
      <c r="N152">
        <v>360</v>
      </c>
      <c r="O152">
        <v>0</v>
      </c>
      <c r="P152" t="s">
        <v>26</v>
      </c>
      <c r="Q152">
        <f t="shared" si="20"/>
        <v>0</v>
      </c>
      <c r="R152">
        <f t="shared" si="21"/>
        <v>0</v>
      </c>
      <c r="S152">
        <f t="shared" si="22"/>
        <v>1</v>
      </c>
      <c r="T152" t="s">
        <v>27</v>
      </c>
      <c r="U152">
        <f t="shared" si="23"/>
        <v>0</v>
      </c>
      <c r="V152">
        <v>8.7448067374018983</v>
      </c>
      <c r="W152">
        <v>0</v>
      </c>
      <c r="X152">
        <v>11.678439903447801</v>
      </c>
      <c r="Y152" t="s">
        <v>23</v>
      </c>
    </row>
    <row r="153" spans="1:25" x14ac:dyDescent="0.3">
      <c r="A153" t="s">
        <v>182</v>
      </c>
      <c r="B153" t="s">
        <v>18</v>
      </c>
      <c r="C153">
        <f t="shared" si="16"/>
        <v>1</v>
      </c>
      <c r="D153" t="s">
        <v>25</v>
      </c>
      <c r="E153">
        <f t="shared" si="17"/>
        <v>1</v>
      </c>
      <c r="F153">
        <v>0</v>
      </c>
      <c r="G153" t="s">
        <v>20</v>
      </c>
      <c r="H153">
        <f t="shared" si="18"/>
        <v>1</v>
      </c>
      <c r="I153" t="s">
        <v>25</v>
      </c>
      <c r="J153">
        <f t="shared" si="19"/>
        <v>1</v>
      </c>
      <c r="K153">
        <v>2577</v>
      </c>
      <c r="L153">
        <v>3750</v>
      </c>
      <c r="M153">
        <v>152000</v>
      </c>
      <c r="N153">
        <v>360</v>
      </c>
      <c r="O153">
        <v>1</v>
      </c>
      <c r="P153" t="s">
        <v>26</v>
      </c>
      <c r="Q153">
        <f t="shared" si="20"/>
        <v>0</v>
      </c>
      <c r="R153">
        <f t="shared" si="21"/>
        <v>0</v>
      </c>
      <c r="S153">
        <f t="shared" si="22"/>
        <v>1</v>
      </c>
      <c r="T153" t="s">
        <v>22</v>
      </c>
      <c r="U153">
        <f t="shared" si="23"/>
        <v>1</v>
      </c>
      <c r="V153">
        <v>7.8547691834991316</v>
      </c>
      <c r="W153">
        <v>8.2297777500818867</v>
      </c>
      <c r="X153">
        <v>11.931635799828413</v>
      </c>
      <c r="Y153" t="s">
        <v>23</v>
      </c>
    </row>
    <row r="154" spans="1:25" x14ac:dyDescent="0.3">
      <c r="A154" t="s">
        <v>183</v>
      </c>
      <c r="B154" t="s">
        <v>18</v>
      </c>
      <c r="C154">
        <f t="shared" si="16"/>
        <v>1</v>
      </c>
      <c r="D154" t="s">
        <v>19</v>
      </c>
      <c r="E154">
        <f t="shared" si="17"/>
        <v>0</v>
      </c>
      <c r="F154">
        <v>0</v>
      </c>
      <c r="G154" t="s">
        <v>20</v>
      </c>
      <c r="H154">
        <f t="shared" si="18"/>
        <v>1</v>
      </c>
      <c r="I154" t="s">
        <v>19</v>
      </c>
      <c r="J154">
        <f t="shared" si="19"/>
        <v>0</v>
      </c>
      <c r="K154">
        <v>9166</v>
      </c>
      <c r="L154">
        <v>0</v>
      </c>
      <c r="M154">
        <v>244000</v>
      </c>
      <c r="N154">
        <v>360</v>
      </c>
      <c r="O154">
        <v>1</v>
      </c>
      <c r="P154" t="s">
        <v>21</v>
      </c>
      <c r="Q154">
        <f t="shared" si="20"/>
        <v>1</v>
      </c>
      <c r="R154">
        <f t="shared" si="21"/>
        <v>0</v>
      </c>
      <c r="S154">
        <f t="shared" si="22"/>
        <v>0</v>
      </c>
      <c r="T154" t="s">
        <v>27</v>
      </c>
      <c r="U154">
        <f t="shared" si="23"/>
        <v>0</v>
      </c>
      <c r="V154">
        <v>9.1233653579617755</v>
      </c>
      <c r="W154">
        <v>0</v>
      </c>
      <c r="X154">
        <v>12.404923504275338</v>
      </c>
      <c r="Y154" t="s">
        <v>23</v>
      </c>
    </row>
    <row r="155" spans="1:25" x14ac:dyDescent="0.3">
      <c r="A155" t="s">
        <v>184</v>
      </c>
      <c r="B155" t="s">
        <v>18</v>
      </c>
      <c r="C155">
        <f t="shared" si="16"/>
        <v>1</v>
      </c>
      <c r="D155" t="s">
        <v>25</v>
      </c>
      <c r="E155">
        <f t="shared" si="17"/>
        <v>1</v>
      </c>
      <c r="F155">
        <v>2</v>
      </c>
      <c r="G155" t="s">
        <v>30</v>
      </c>
      <c r="H155">
        <f t="shared" si="18"/>
        <v>0</v>
      </c>
      <c r="I155" t="s">
        <v>19</v>
      </c>
      <c r="J155">
        <f t="shared" si="19"/>
        <v>0</v>
      </c>
      <c r="K155">
        <v>2281</v>
      </c>
      <c r="L155">
        <v>0</v>
      </c>
      <c r="M155">
        <v>113000</v>
      </c>
      <c r="N155">
        <v>360</v>
      </c>
      <c r="O155">
        <v>1</v>
      </c>
      <c r="P155" t="s">
        <v>26</v>
      </c>
      <c r="Q155">
        <f t="shared" si="20"/>
        <v>0</v>
      </c>
      <c r="R155">
        <f t="shared" si="21"/>
        <v>0</v>
      </c>
      <c r="S155">
        <f t="shared" si="22"/>
        <v>1</v>
      </c>
      <c r="T155" t="s">
        <v>27</v>
      </c>
      <c r="U155">
        <f t="shared" si="23"/>
        <v>0</v>
      </c>
      <c r="V155">
        <v>7.7328075304220212</v>
      </c>
      <c r="W155">
        <v>0</v>
      </c>
      <c r="X155">
        <v>11.635143097694478</v>
      </c>
      <c r="Y155" t="s">
        <v>23</v>
      </c>
    </row>
    <row r="156" spans="1:25" x14ac:dyDescent="0.3">
      <c r="A156" t="s">
        <v>185</v>
      </c>
      <c r="B156" t="s">
        <v>18</v>
      </c>
      <c r="C156">
        <f t="shared" si="16"/>
        <v>1</v>
      </c>
      <c r="D156" t="s">
        <v>19</v>
      </c>
      <c r="E156">
        <f t="shared" si="17"/>
        <v>0</v>
      </c>
      <c r="F156">
        <v>0</v>
      </c>
      <c r="G156" t="s">
        <v>20</v>
      </c>
      <c r="H156">
        <f t="shared" si="18"/>
        <v>1</v>
      </c>
      <c r="I156" t="s">
        <v>19</v>
      </c>
      <c r="J156">
        <f t="shared" si="19"/>
        <v>0</v>
      </c>
      <c r="K156">
        <v>3254</v>
      </c>
      <c r="L156">
        <v>0</v>
      </c>
      <c r="M156">
        <v>50000</v>
      </c>
      <c r="N156">
        <v>360</v>
      </c>
      <c r="O156">
        <v>1</v>
      </c>
      <c r="P156" t="s">
        <v>21</v>
      </c>
      <c r="Q156">
        <f t="shared" si="20"/>
        <v>1</v>
      </c>
      <c r="R156">
        <f t="shared" si="21"/>
        <v>0</v>
      </c>
      <c r="S156">
        <f t="shared" si="22"/>
        <v>0</v>
      </c>
      <c r="T156" t="s">
        <v>22</v>
      </c>
      <c r="U156">
        <f t="shared" si="23"/>
        <v>1</v>
      </c>
      <c r="V156">
        <v>8.0879475546426693</v>
      </c>
      <c r="W156">
        <v>0</v>
      </c>
      <c r="X156">
        <v>10.819778284410283</v>
      </c>
      <c r="Y156" t="s">
        <v>23</v>
      </c>
    </row>
    <row r="157" spans="1:25" x14ac:dyDescent="0.3">
      <c r="A157" t="s">
        <v>186</v>
      </c>
      <c r="B157" t="s">
        <v>18</v>
      </c>
      <c r="C157">
        <f t="shared" si="16"/>
        <v>1</v>
      </c>
      <c r="D157" t="s">
        <v>25</v>
      </c>
      <c r="E157">
        <f t="shared" si="17"/>
        <v>1</v>
      </c>
      <c r="F157">
        <v>3</v>
      </c>
      <c r="G157" t="s">
        <v>20</v>
      </c>
      <c r="H157">
        <f t="shared" si="18"/>
        <v>1</v>
      </c>
      <c r="I157" t="s">
        <v>19</v>
      </c>
      <c r="J157">
        <f t="shared" si="19"/>
        <v>0</v>
      </c>
      <c r="K157">
        <v>39999</v>
      </c>
      <c r="L157">
        <v>0</v>
      </c>
      <c r="M157">
        <v>600000</v>
      </c>
      <c r="N157">
        <v>180</v>
      </c>
      <c r="O157">
        <v>0</v>
      </c>
      <c r="P157" t="s">
        <v>35</v>
      </c>
      <c r="Q157">
        <f t="shared" si="20"/>
        <v>0</v>
      </c>
      <c r="R157">
        <f t="shared" si="21"/>
        <v>1</v>
      </c>
      <c r="S157">
        <f t="shared" si="22"/>
        <v>0</v>
      </c>
      <c r="T157" t="s">
        <v>22</v>
      </c>
      <c r="U157">
        <f t="shared" si="23"/>
        <v>1</v>
      </c>
      <c r="V157">
        <v>10.596634733096071</v>
      </c>
      <c r="W157">
        <v>0</v>
      </c>
      <c r="X157">
        <v>13.304684934198283</v>
      </c>
      <c r="Y157" t="s">
        <v>46</v>
      </c>
    </row>
    <row r="158" spans="1:25" x14ac:dyDescent="0.3">
      <c r="A158" t="s">
        <v>187</v>
      </c>
      <c r="B158" t="s">
        <v>18</v>
      </c>
      <c r="C158">
        <f t="shared" si="16"/>
        <v>1</v>
      </c>
      <c r="D158" t="s">
        <v>25</v>
      </c>
      <c r="E158">
        <f t="shared" si="17"/>
        <v>1</v>
      </c>
      <c r="F158">
        <v>1</v>
      </c>
      <c r="G158" t="s">
        <v>20</v>
      </c>
      <c r="H158">
        <f t="shared" si="18"/>
        <v>1</v>
      </c>
      <c r="I158" t="s">
        <v>19</v>
      </c>
      <c r="J158">
        <f t="shared" si="19"/>
        <v>0</v>
      </c>
      <c r="K158">
        <v>6000</v>
      </c>
      <c r="L158">
        <v>0</v>
      </c>
      <c r="M158">
        <v>160000</v>
      </c>
      <c r="N158">
        <v>360</v>
      </c>
      <c r="O158">
        <v>1</v>
      </c>
      <c r="P158" t="s">
        <v>26</v>
      </c>
      <c r="Q158">
        <f t="shared" si="20"/>
        <v>0</v>
      </c>
      <c r="R158">
        <f t="shared" si="21"/>
        <v>0</v>
      </c>
      <c r="S158">
        <f t="shared" si="22"/>
        <v>1</v>
      </c>
      <c r="T158" t="s">
        <v>22</v>
      </c>
      <c r="U158">
        <f t="shared" si="23"/>
        <v>1</v>
      </c>
      <c r="V158">
        <v>8.6996814009895136</v>
      </c>
      <c r="W158">
        <v>0</v>
      </c>
      <c r="X158">
        <v>11.982929094215963</v>
      </c>
      <c r="Y158" t="s">
        <v>23</v>
      </c>
    </row>
    <row r="159" spans="1:25" x14ac:dyDescent="0.3">
      <c r="A159" t="s">
        <v>188</v>
      </c>
      <c r="B159" t="s">
        <v>18</v>
      </c>
      <c r="C159">
        <f t="shared" si="16"/>
        <v>1</v>
      </c>
      <c r="D159" t="s">
        <v>25</v>
      </c>
      <c r="E159">
        <f t="shared" si="17"/>
        <v>1</v>
      </c>
      <c r="F159">
        <v>1</v>
      </c>
      <c r="G159" t="s">
        <v>20</v>
      </c>
      <c r="H159">
        <f t="shared" si="18"/>
        <v>1</v>
      </c>
      <c r="I159" t="s">
        <v>19</v>
      </c>
      <c r="J159">
        <f t="shared" si="19"/>
        <v>0</v>
      </c>
      <c r="K159">
        <v>9538</v>
      </c>
      <c r="L159">
        <v>0</v>
      </c>
      <c r="M159">
        <v>187000</v>
      </c>
      <c r="N159">
        <v>360</v>
      </c>
      <c r="O159">
        <v>1</v>
      </c>
      <c r="P159" t="s">
        <v>21</v>
      </c>
      <c r="Q159">
        <f t="shared" si="20"/>
        <v>1</v>
      </c>
      <c r="R159">
        <f t="shared" si="21"/>
        <v>0</v>
      </c>
      <c r="S159">
        <f t="shared" si="22"/>
        <v>0</v>
      </c>
      <c r="T159" t="s">
        <v>22</v>
      </c>
      <c r="U159">
        <f t="shared" si="23"/>
        <v>1</v>
      </c>
      <c r="V159">
        <v>9.1631439371452075</v>
      </c>
      <c r="W159">
        <v>0</v>
      </c>
      <c r="X159">
        <v>12.138863895836725</v>
      </c>
      <c r="Y159" t="s">
        <v>23</v>
      </c>
    </row>
    <row r="160" spans="1:25" x14ac:dyDescent="0.3">
      <c r="A160" t="s">
        <v>189</v>
      </c>
      <c r="B160" t="s">
        <v>18</v>
      </c>
      <c r="C160">
        <f t="shared" si="16"/>
        <v>1</v>
      </c>
      <c r="D160" t="s">
        <v>19</v>
      </c>
      <c r="E160">
        <f t="shared" si="17"/>
        <v>0</v>
      </c>
      <c r="F160">
        <v>0</v>
      </c>
      <c r="G160" t="s">
        <v>20</v>
      </c>
      <c r="H160">
        <f t="shared" si="18"/>
        <v>1</v>
      </c>
      <c r="I160" t="s">
        <v>19</v>
      </c>
      <c r="J160">
        <f t="shared" si="19"/>
        <v>0</v>
      </c>
      <c r="K160">
        <v>2980</v>
      </c>
      <c r="L160">
        <v>2083</v>
      </c>
      <c r="M160">
        <v>120000</v>
      </c>
      <c r="N160">
        <v>360</v>
      </c>
      <c r="O160">
        <v>1</v>
      </c>
      <c r="P160" t="s">
        <v>26</v>
      </c>
      <c r="Q160">
        <f t="shared" si="20"/>
        <v>0</v>
      </c>
      <c r="R160">
        <f t="shared" si="21"/>
        <v>0</v>
      </c>
      <c r="S160">
        <f t="shared" si="22"/>
        <v>1</v>
      </c>
      <c r="T160" t="s">
        <v>22</v>
      </c>
      <c r="U160">
        <f t="shared" si="23"/>
        <v>1</v>
      </c>
      <c r="V160">
        <v>8.0000140936780717</v>
      </c>
      <c r="W160">
        <v>7.6420444028732577</v>
      </c>
      <c r="X160">
        <v>11.695247021764184</v>
      </c>
      <c r="Y160" t="s">
        <v>23</v>
      </c>
    </row>
    <row r="161" spans="1:25" x14ac:dyDescent="0.3">
      <c r="A161" t="s">
        <v>190</v>
      </c>
      <c r="B161" t="s">
        <v>18</v>
      </c>
      <c r="C161">
        <f t="shared" si="16"/>
        <v>1</v>
      </c>
      <c r="D161" t="s">
        <v>25</v>
      </c>
      <c r="E161">
        <f t="shared" si="17"/>
        <v>1</v>
      </c>
      <c r="F161">
        <v>0</v>
      </c>
      <c r="G161" t="s">
        <v>20</v>
      </c>
      <c r="H161">
        <f t="shared" si="18"/>
        <v>1</v>
      </c>
      <c r="I161" t="s">
        <v>19</v>
      </c>
      <c r="J161">
        <f t="shared" si="19"/>
        <v>0</v>
      </c>
      <c r="K161">
        <v>4583</v>
      </c>
      <c r="L161">
        <v>5625</v>
      </c>
      <c r="M161">
        <v>255000</v>
      </c>
      <c r="N161">
        <v>360</v>
      </c>
      <c r="O161">
        <v>1</v>
      </c>
      <c r="P161" t="s">
        <v>35</v>
      </c>
      <c r="Q161">
        <f t="shared" si="20"/>
        <v>0</v>
      </c>
      <c r="R161">
        <f t="shared" si="21"/>
        <v>1</v>
      </c>
      <c r="S161">
        <f t="shared" si="22"/>
        <v>0</v>
      </c>
      <c r="T161" t="s">
        <v>22</v>
      </c>
      <c r="U161">
        <f t="shared" si="23"/>
        <v>1</v>
      </c>
      <c r="V161">
        <v>8.4303272583945752</v>
      </c>
      <c r="W161">
        <v>8.6351539890498028</v>
      </c>
      <c r="X161">
        <v>12.449018824140563</v>
      </c>
      <c r="Y161" t="s">
        <v>23</v>
      </c>
    </row>
    <row r="162" spans="1:25" x14ac:dyDescent="0.3">
      <c r="A162" t="s">
        <v>191</v>
      </c>
      <c r="B162" t="s">
        <v>18</v>
      </c>
      <c r="C162">
        <f t="shared" si="16"/>
        <v>1</v>
      </c>
      <c r="D162" t="s">
        <v>25</v>
      </c>
      <c r="E162">
        <f t="shared" si="17"/>
        <v>1</v>
      </c>
      <c r="F162">
        <v>0</v>
      </c>
      <c r="G162" t="s">
        <v>30</v>
      </c>
      <c r="H162">
        <f t="shared" si="18"/>
        <v>0</v>
      </c>
      <c r="I162" t="s">
        <v>19</v>
      </c>
      <c r="J162">
        <f t="shared" si="19"/>
        <v>0</v>
      </c>
      <c r="K162">
        <v>1863</v>
      </c>
      <c r="L162">
        <v>1041</v>
      </c>
      <c r="M162">
        <v>98000</v>
      </c>
      <c r="N162">
        <v>360</v>
      </c>
      <c r="O162">
        <v>1</v>
      </c>
      <c r="P162" t="s">
        <v>35</v>
      </c>
      <c r="Q162">
        <f t="shared" si="20"/>
        <v>0</v>
      </c>
      <c r="R162">
        <f t="shared" si="21"/>
        <v>1</v>
      </c>
      <c r="S162">
        <f t="shared" si="22"/>
        <v>0</v>
      </c>
      <c r="T162" t="s">
        <v>22</v>
      </c>
      <c r="U162">
        <f t="shared" si="23"/>
        <v>1</v>
      </c>
      <c r="V162">
        <v>7.5304799952455364</v>
      </c>
      <c r="W162">
        <v>6.9488972223133123</v>
      </c>
      <c r="X162">
        <v>11.492722757652709</v>
      </c>
      <c r="Y162" t="s">
        <v>23</v>
      </c>
    </row>
    <row r="163" spans="1:25" x14ac:dyDescent="0.3">
      <c r="A163" t="s">
        <v>192</v>
      </c>
      <c r="B163" t="s">
        <v>18</v>
      </c>
      <c r="C163">
        <f t="shared" si="16"/>
        <v>1</v>
      </c>
      <c r="D163" t="s">
        <v>25</v>
      </c>
      <c r="E163">
        <f t="shared" si="17"/>
        <v>1</v>
      </c>
      <c r="F163">
        <v>0</v>
      </c>
      <c r="G163" t="s">
        <v>20</v>
      </c>
      <c r="H163">
        <f t="shared" si="18"/>
        <v>1</v>
      </c>
      <c r="I163" t="s">
        <v>19</v>
      </c>
      <c r="J163">
        <f t="shared" si="19"/>
        <v>0</v>
      </c>
      <c r="K163">
        <v>7933</v>
      </c>
      <c r="L163">
        <v>0</v>
      </c>
      <c r="M163">
        <v>275000</v>
      </c>
      <c r="N163">
        <v>360</v>
      </c>
      <c r="O163">
        <v>1</v>
      </c>
      <c r="P163" t="s">
        <v>21</v>
      </c>
      <c r="Q163">
        <f t="shared" si="20"/>
        <v>1</v>
      </c>
      <c r="R163">
        <f t="shared" si="21"/>
        <v>0</v>
      </c>
      <c r="S163">
        <f t="shared" si="22"/>
        <v>0</v>
      </c>
      <c r="T163" t="s">
        <v>27</v>
      </c>
      <c r="U163">
        <f t="shared" si="23"/>
        <v>0</v>
      </c>
      <c r="V163">
        <v>8.9789126010742759</v>
      </c>
      <c r="W163">
        <v>0</v>
      </c>
      <c r="X163">
        <v>12.524526376648708</v>
      </c>
      <c r="Y163" t="s">
        <v>23</v>
      </c>
    </row>
    <row r="164" spans="1:25" x14ac:dyDescent="0.3">
      <c r="A164" t="s">
        <v>193</v>
      </c>
      <c r="B164" t="s">
        <v>18</v>
      </c>
      <c r="C164">
        <f t="shared" si="16"/>
        <v>1</v>
      </c>
      <c r="D164" t="s">
        <v>25</v>
      </c>
      <c r="E164">
        <f t="shared" si="17"/>
        <v>1</v>
      </c>
      <c r="F164">
        <v>1</v>
      </c>
      <c r="G164" t="s">
        <v>20</v>
      </c>
      <c r="H164">
        <f t="shared" si="18"/>
        <v>1</v>
      </c>
      <c r="I164" t="s">
        <v>19</v>
      </c>
      <c r="J164">
        <f t="shared" si="19"/>
        <v>0</v>
      </c>
      <c r="K164">
        <v>3089</v>
      </c>
      <c r="L164">
        <v>1280</v>
      </c>
      <c r="M164">
        <v>121000</v>
      </c>
      <c r="N164">
        <v>360</v>
      </c>
      <c r="O164">
        <v>0</v>
      </c>
      <c r="P164" t="s">
        <v>35</v>
      </c>
      <c r="Q164">
        <f t="shared" si="20"/>
        <v>0</v>
      </c>
      <c r="R164">
        <f t="shared" si="21"/>
        <v>1</v>
      </c>
      <c r="S164">
        <f t="shared" si="22"/>
        <v>0</v>
      </c>
      <c r="T164" t="s">
        <v>27</v>
      </c>
      <c r="U164">
        <f t="shared" si="23"/>
        <v>0</v>
      </c>
      <c r="V164">
        <v>8.0359263698917918</v>
      </c>
      <c r="W164">
        <v>7.1553963018967339</v>
      </c>
      <c r="X164">
        <v>11.703545824578878</v>
      </c>
      <c r="Y164" t="s">
        <v>23</v>
      </c>
    </row>
    <row r="165" spans="1:25" x14ac:dyDescent="0.3">
      <c r="A165" t="s">
        <v>194</v>
      </c>
      <c r="B165" t="s">
        <v>18</v>
      </c>
      <c r="C165">
        <f t="shared" si="16"/>
        <v>1</v>
      </c>
      <c r="D165" t="s">
        <v>25</v>
      </c>
      <c r="E165">
        <f t="shared" si="17"/>
        <v>1</v>
      </c>
      <c r="F165">
        <v>2</v>
      </c>
      <c r="G165" t="s">
        <v>20</v>
      </c>
      <c r="H165">
        <f t="shared" si="18"/>
        <v>1</v>
      </c>
      <c r="I165" t="s">
        <v>19</v>
      </c>
      <c r="J165">
        <f t="shared" si="19"/>
        <v>0</v>
      </c>
      <c r="K165">
        <v>4167</v>
      </c>
      <c r="L165">
        <v>1447</v>
      </c>
      <c r="M165">
        <v>158000</v>
      </c>
      <c r="N165">
        <v>360</v>
      </c>
      <c r="O165">
        <v>1</v>
      </c>
      <c r="P165" t="s">
        <v>26</v>
      </c>
      <c r="Q165">
        <f t="shared" si="20"/>
        <v>0</v>
      </c>
      <c r="R165">
        <f t="shared" si="21"/>
        <v>0</v>
      </c>
      <c r="S165">
        <f t="shared" si="22"/>
        <v>1</v>
      </c>
      <c r="T165" t="s">
        <v>22</v>
      </c>
      <c r="U165">
        <f t="shared" si="23"/>
        <v>1</v>
      </c>
      <c r="V165">
        <v>8.3351915834332022</v>
      </c>
      <c r="W165">
        <v>7.2779385729456614</v>
      </c>
      <c r="X165">
        <v>11.970350312009105</v>
      </c>
      <c r="Y165" t="s">
        <v>23</v>
      </c>
    </row>
    <row r="166" spans="1:25" x14ac:dyDescent="0.3">
      <c r="A166" t="s">
        <v>195</v>
      </c>
      <c r="B166" t="s">
        <v>18</v>
      </c>
      <c r="C166">
        <f t="shared" si="16"/>
        <v>1</v>
      </c>
      <c r="D166" t="s">
        <v>25</v>
      </c>
      <c r="E166">
        <f t="shared" si="17"/>
        <v>1</v>
      </c>
      <c r="F166">
        <v>0</v>
      </c>
      <c r="G166" t="s">
        <v>20</v>
      </c>
      <c r="H166">
        <f t="shared" si="18"/>
        <v>1</v>
      </c>
      <c r="I166" t="s">
        <v>19</v>
      </c>
      <c r="J166">
        <f t="shared" si="19"/>
        <v>0</v>
      </c>
      <c r="K166">
        <v>9323</v>
      </c>
      <c r="L166">
        <v>0</v>
      </c>
      <c r="M166">
        <v>75000</v>
      </c>
      <c r="N166">
        <v>180</v>
      </c>
      <c r="O166">
        <v>1</v>
      </c>
      <c r="P166" t="s">
        <v>21</v>
      </c>
      <c r="Q166">
        <f t="shared" si="20"/>
        <v>1</v>
      </c>
      <c r="R166">
        <f t="shared" si="21"/>
        <v>0</v>
      </c>
      <c r="S166">
        <f t="shared" si="22"/>
        <v>0</v>
      </c>
      <c r="T166" t="s">
        <v>22</v>
      </c>
      <c r="U166">
        <f t="shared" si="23"/>
        <v>1</v>
      </c>
      <c r="V166">
        <v>9.1403470001556482</v>
      </c>
      <c r="W166">
        <v>0</v>
      </c>
      <c r="X166">
        <v>11.225243392518447</v>
      </c>
      <c r="Y166" t="s">
        <v>46</v>
      </c>
    </row>
    <row r="167" spans="1:25" x14ac:dyDescent="0.3">
      <c r="A167" t="s">
        <v>196</v>
      </c>
      <c r="B167" t="s">
        <v>18</v>
      </c>
      <c r="C167">
        <f t="shared" si="16"/>
        <v>1</v>
      </c>
      <c r="D167" t="s">
        <v>25</v>
      </c>
      <c r="E167">
        <f t="shared" si="17"/>
        <v>1</v>
      </c>
      <c r="F167">
        <v>0</v>
      </c>
      <c r="G167" t="s">
        <v>20</v>
      </c>
      <c r="H167">
        <f t="shared" si="18"/>
        <v>1</v>
      </c>
      <c r="I167" t="s">
        <v>19</v>
      </c>
      <c r="J167">
        <f t="shared" si="19"/>
        <v>0</v>
      </c>
      <c r="K167">
        <v>3707</v>
      </c>
      <c r="L167">
        <v>3166</v>
      </c>
      <c r="M167">
        <v>182000</v>
      </c>
      <c r="N167">
        <v>360</v>
      </c>
      <c r="O167">
        <v>1</v>
      </c>
      <c r="P167" t="s">
        <v>26</v>
      </c>
      <c r="Q167">
        <f t="shared" si="20"/>
        <v>0</v>
      </c>
      <c r="R167">
        <f t="shared" si="21"/>
        <v>0</v>
      </c>
      <c r="S167">
        <f t="shared" si="22"/>
        <v>1</v>
      </c>
      <c r="T167" t="s">
        <v>22</v>
      </c>
      <c r="U167">
        <f t="shared" si="23"/>
        <v>1</v>
      </c>
      <c r="V167">
        <v>8.2182479266857449</v>
      </c>
      <c r="W167">
        <v>8.0605400465386392</v>
      </c>
      <c r="X167">
        <v>12.111761966058932</v>
      </c>
      <c r="Y167" t="s">
        <v>23</v>
      </c>
    </row>
    <row r="168" spans="1:25" x14ac:dyDescent="0.3">
      <c r="A168" t="s">
        <v>197</v>
      </c>
      <c r="B168" t="s">
        <v>48</v>
      </c>
      <c r="C168">
        <f t="shared" si="16"/>
        <v>0</v>
      </c>
      <c r="D168" t="s">
        <v>25</v>
      </c>
      <c r="E168">
        <f t="shared" si="17"/>
        <v>1</v>
      </c>
      <c r="F168">
        <v>0</v>
      </c>
      <c r="G168" t="s">
        <v>20</v>
      </c>
      <c r="H168">
        <f t="shared" si="18"/>
        <v>1</v>
      </c>
      <c r="I168" t="s">
        <v>19</v>
      </c>
      <c r="J168">
        <f t="shared" si="19"/>
        <v>0</v>
      </c>
      <c r="K168">
        <v>4583</v>
      </c>
      <c r="L168">
        <v>0</v>
      </c>
      <c r="M168">
        <v>112000</v>
      </c>
      <c r="N168">
        <v>360</v>
      </c>
      <c r="O168">
        <v>1</v>
      </c>
      <c r="P168" t="s">
        <v>26</v>
      </c>
      <c r="Q168">
        <f t="shared" si="20"/>
        <v>0</v>
      </c>
      <c r="R168">
        <f t="shared" si="21"/>
        <v>0</v>
      </c>
      <c r="S168">
        <f t="shared" si="22"/>
        <v>1</v>
      </c>
      <c r="T168" t="s">
        <v>27</v>
      </c>
      <c r="U168">
        <f t="shared" si="23"/>
        <v>0</v>
      </c>
      <c r="V168">
        <v>8.4303272583945752</v>
      </c>
      <c r="W168">
        <v>0</v>
      </c>
      <c r="X168">
        <v>11.626254150277232</v>
      </c>
      <c r="Y168" t="s">
        <v>23</v>
      </c>
    </row>
    <row r="169" spans="1:25" x14ac:dyDescent="0.3">
      <c r="A169" t="s">
        <v>198</v>
      </c>
      <c r="B169" t="s">
        <v>18</v>
      </c>
      <c r="C169">
        <f t="shared" si="16"/>
        <v>1</v>
      </c>
      <c r="D169" t="s">
        <v>25</v>
      </c>
      <c r="E169">
        <f t="shared" si="17"/>
        <v>1</v>
      </c>
      <c r="F169">
        <v>0</v>
      </c>
      <c r="G169" t="s">
        <v>20</v>
      </c>
      <c r="H169">
        <f t="shared" si="18"/>
        <v>1</v>
      </c>
      <c r="I169" t="s">
        <v>19</v>
      </c>
      <c r="J169">
        <f t="shared" si="19"/>
        <v>0</v>
      </c>
      <c r="K169">
        <v>2439</v>
      </c>
      <c r="L169">
        <v>3333</v>
      </c>
      <c r="M169">
        <v>129000</v>
      </c>
      <c r="N169">
        <v>360</v>
      </c>
      <c r="O169">
        <v>1</v>
      </c>
      <c r="P169" t="s">
        <v>26</v>
      </c>
      <c r="Q169">
        <f t="shared" si="20"/>
        <v>0</v>
      </c>
      <c r="R169">
        <f t="shared" si="21"/>
        <v>0</v>
      </c>
      <c r="S169">
        <f t="shared" si="22"/>
        <v>1</v>
      </c>
      <c r="T169" t="s">
        <v>22</v>
      </c>
      <c r="U169">
        <f t="shared" si="23"/>
        <v>1</v>
      </c>
      <c r="V169">
        <v>7.7997533182872472</v>
      </c>
      <c r="W169">
        <v>8.1119280633107387</v>
      </c>
      <c r="X169">
        <v>11.76756768334381</v>
      </c>
      <c r="Y169" t="s">
        <v>23</v>
      </c>
    </row>
    <row r="170" spans="1:25" x14ac:dyDescent="0.3">
      <c r="A170" t="s">
        <v>199</v>
      </c>
      <c r="B170" t="s">
        <v>18</v>
      </c>
      <c r="C170">
        <f t="shared" si="16"/>
        <v>1</v>
      </c>
      <c r="D170" t="s">
        <v>19</v>
      </c>
      <c r="E170">
        <f t="shared" si="17"/>
        <v>0</v>
      </c>
      <c r="F170">
        <v>0</v>
      </c>
      <c r="G170" t="s">
        <v>20</v>
      </c>
      <c r="H170">
        <f t="shared" si="18"/>
        <v>1</v>
      </c>
      <c r="I170" t="s">
        <v>19</v>
      </c>
      <c r="J170">
        <f t="shared" si="19"/>
        <v>0</v>
      </c>
      <c r="K170">
        <v>2237</v>
      </c>
      <c r="L170">
        <v>0</v>
      </c>
      <c r="M170">
        <v>63000</v>
      </c>
      <c r="N170">
        <v>480</v>
      </c>
      <c r="O170">
        <v>0</v>
      </c>
      <c r="P170" t="s">
        <v>35</v>
      </c>
      <c r="Q170">
        <f t="shared" si="20"/>
        <v>0</v>
      </c>
      <c r="R170">
        <f t="shared" si="21"/>
        <v>1</v>
      </c>
      <c r="S170">
        <f t="shared" si="22"/>
        <v>0</v>
      </c>
      <c r="T170" t="s">
        <v>27</v>
      </c>
      <c r="U170">
        <f t="shared" si="23"/>
        <v>0</v>
      </c>
      <c r="V170">
        <v>7.7133378888718704</v>
      </c>
      <c r="W170">
        <v>0</v>
      </c>
      <c r="X170">
        <v>11.05089000537367</v>
      </c>
      <c r="Y170" t="s">
        <v>23</v>
      </c>
    </row>
    <row r="171" spans="1:25" x14ac:dyDescent="0.3">
      <c r="A171" t="s">
        <v>200</v>
      </c>
      <c r="B171" t="s">
        <v>18</v>
      </c>
      <c r="C171">
        <f t="shared" si="16"/>
        <v>1</v>
      </c>
      <c r="D171" t="s">
        <v>25</v>
      </c>
      <c r="E171">
        <f t="shared" si="17"/>
        <v>1</v>
      </c>
      <c r="F171">
        <v>2</v>
      </c>
      <c r="G171" t="s">
        <v>20</v>
      </c>
      <c r="H171">
        <f t="shared" si="18"/>
        <v>1</v>
      </c>
      <c r="I171" t="s">
        <v>19</v>
      </c>
      <c r="J171">
        <f t="shared" si="19"/>
        <v>0</v>
      </c>
      <c r="K171">
        <v>8000</v>
      </c>
      <c r="L171">
        <v>0</v>
      </c>
      <c r="M171">
        <v>200000</v>
      </c>
      <c r="N171">
        <v>360</v>
      </c>
      <c r="O171">
        <v>1</v>
      </c>
      <c r="P171" t="s">
        <v>35</v>
      </c>
      <c r="Q171">
        <f t="shared" si="20"/>
        <v>0</v>
      </c>
      <c r="R171">
        <f t="shared" si="21"/>
        <v>1</v>
      </c>
      <c r="S171">
        <f t="shared" si="22"/>
        <v>0</v>
      </c>
      <c r="T171" t="s">
        <v>22</v>
      </c>
      <c r="U171">
        <f t="shared" si="23"/>
        <v>1</v>
      </c>
      <c r="V171">
        <v>8.9873218128501247</v>
      </c>
      <c r="W171">
        <v>0</v>
      </c>
      <c r="X171">
        <v>12.206072645530174</v>
      </c>
      <c r="Y171" t="s">
        <v>23</v>
      </c>
    </row>
    <row r="172" spans="1:25" x14ac:dyDescent="0.3">
      <c r="A172" t="s">
        <v>201</v>
      </c>
      <c r="B172" t="s">
        <v>18</v>
      </c>
      <c r="C172">
        <f t="shared" si="16"/>
        <v>1</v>
      </c>
      <c r="D172" t="s">
        <v>25</v>
      </c>
      <c r="E172">
        <f t="shared" si="17"/>
        <v>1</v>
      </c>
      <c r="F172">
        <v>0</v>
      </c>
      <c r="G172" t="s">
        <v>30</v>
      </c>
      <c r="H172">
        <f t="shared" si="18"/>
        <v>0</v>
      </c>
      <c r="I172" t="s">
        <v>19</v>
      </c>
      <c r="J172">
        <f t="shared" si="19"/>
        <v>0</v>
      </c>
      <c r="K172">
        <v>1820</v>
      </c>
      <c r="L172">
        <v>1769</v>
      </c>
      <c r="M172">
        <v>95000</v>
      </c>
      <c r="N172">
        <v>360</v>
      </c>
      <c r="O172">
        <v>1</v>
      </c>
      <c r="P172" t="s">
        <v>26</v>
      </c>
      <c r="Q172">
        <f t="shared" si="20"/>
        <v>0</v>
      </c>
      <c r="R172">
        <f t="shared" si="21"/>
        <v>0</v>
      </c>
      <c r="S172">
        <f t="shared" si="22"/>
        <v>1</v>
      </c>
      <c r="T172" t="s">
        <v>22</v>
      </c>
      <c r="U172">
        <f t="shared" si="23"/>
        <v>1</v>
      </c>
      <c r="V172">
        <v>7.5071410797276084</v>
      </c>
      <c r="W172">
        <v>7.4787348255678747</v>
      </c>
      <c r="X172">
        <v>11.461632170582678</v>
      </c>
      <c r="Y172" t="s">
        <v>23</v>
      </c>
    </row>
    <row r="173" spans="1:25" x14ac:dyDescent="0.3">
      <c r="A173" t="s">
        <v>202</v>
      </c>
      <c r="B173" t="s">
        <v>18</v>
      </c>
      <c r="C173">
        <f t="shared" si="16"/>
        <v>1</v>
      </c>
      <c r="D173" t="s">
        <v>25</v>
      </c>
      <c r="E173">
        <f t="shared" si="17"/>
        <v>1</v>
      </c>
      <c r="F173">
        <v>3</v>
      </c>
      <c r="G173" t="s">
        <v>20</v>
      </c>
      <c r="H173">
        <f t="shared" si="18"/>
        <v>1</v>
      </c>
      <c r="I173" t="s">
        <v>19</v>
      </c>
      <c r="J173">
        <f t="shared" si="19"/>
        <v>0</v>
      </c>
      <c r="K173">
        <v>51763</v>
      </c>
      <c r="L173">
        <v>0</v>
      </c>
      <c r="M173">
        <v>700000</v>
      </c>
      <c r="N173">
        <v>300</v>
      </c>
      <c r="O173">
        <v>1</v>
      </c>
      <c r="P173" t="s">
        <v>21</v>
      </c>
      <c r="Q173">
        <f t="shared" si="20"/>
        <v>1</v>
      </c>
      <c r="R173">
        <f t="shared" si="21"/>
        <v>0</v>
      </c>
      <c r="S173">
        <f t="shared" si="22"/>
        <v>0</v>
      </c>
      <c r="T173" t="s">
        <v>22</v>
      </c>
      <c r="U173">
        <f t="shared" si="23"/>
        <v>1</v>
      </c>
      <c r="V173">
        <v>10.854450205941561</v>
      </c>
      <c r="W173">
        <v>0</v>
      </c>
      <c r="X173">
        <v>13.458835614025542</v>
      </c>
      <c r="Y173" t="s">
        <v>46</v>
      </c>
    </row>
    <row r="174" spans="1:25" x14ac:dyDescent="0.3">
      <c r="A174" t="s">
        <v>203</v>
      </c>
      <c r="B174" t="s">
        <v>18</v>
      </c>
      <c r="C174">
        <f t="shared" si="16"/>
        <v>1</v>
      </c>
      <c r="D174" t="s">
        <v>25</v>
      </c>
      <c r="E174">
        <f t="shared" si="17"/>
        <v>1</v>
      </c>
      <c r="F174">
        <v>3</v>
      </c>
      <c r="G174" t="s">
        <v>30</v>
      </c>
      <c r="H174">
        <f t="shared" si="18"/>
        <v>0</v>
      </c>
      <c r="I174" t="s">
        <v>19</v>
      </c>
      <c r="J174">
        <f t="shared" si="19"/>
        <v>0</v>
      </c>
      <c r="K174">
        <v>3522</v>
      </c>
      <c r="L174">
        <v>0</v>
      </c>
      <c r="M174">
        <v>81000</v>
      </c>
      <c r="N174">
        <v>180</v>
      </c>
      <c r="O174">
        <v>1</v>
      </c>
      <c r="P174" t="s">
        <v>26</v>
      </c>
      <c r="Q174">
        <f t="shared" si="20"/>
        <v>0</v>
      </c>
      <c r="R174">
        <f t="shared" si="21"/>
        <v>0</v>
      </c>
      <c r="S174">
        <f t="shared" si="22"/>
        <v>1</v>
      </c>
      <c r="T174" t="s">
        <v>27</v>
      </c>
      <c r="U174">
        <f t="shared" si="23"/>
        <v>0</v>
      </c>
      <c r="V174">
        <v>8.1670681783412373</v>
      </c>
      <c r="W174">
        <v>0</v>
      </c>
      <c r="X174">
        <v>11.302204433654575</v>
      </c>
      <c r="Y174" t="s">
        <v>46</v>
      </c>
    </row>
    <row r="175" spans="1:25" x14ac:dyDescent="0.3">
      <c r="A175" t="s">
        <v>204</v>
      </c>
      <c r="B175" t="s">
        <v>18</v>
      </c>
      <c r="C175">
        <f t="shared" si="16"/>
        <v>1</v>
      </c>
      <c r="D175" t="s">
        <v>25</v>
      </c>
      <c r="E175">
        <f t="shared" si="17"/>
        <v>1</v>
      </c>
      <c r="F175">
        <v>0</v>
      </c>
      <c r="G175" t="s">
        <v>20</v>
      </c>
      <c r="H175">
        <f t="shared" si="18"/>
        <v>1</v>
      </c>
      <c r="I175" t="s">
        <v>19</v>
      </c>
      <c r="J175">
        <f t="shared" si="19"/>
        <v>0</v>
      </c>
      <c r="K175">
        <v>5708</v>
      </c>
      <c r="L175">
        <v>5625</v>
      </c>
      <c r="M175">
        <v>187000</v>
      </c>
      <c r="N175">
        <v>360</v>
      </c>
      <c r="O175">
        <v>1</v>
      </c>
      <c r="P175" t="s">
        <v>35</v>
      </c>
      <c r="Q175">
        <f t="shared" si="20"/>
        <v>0</v>
      </c>
      <c r="R175">
        <f t="shared" si="21"/>
        <v>1</v>
      </c>
      <c r="S175">
        <f t="shared" si="22"/>
        <v>0</v>
      </c>
      <c r="T175" t="s">
        <v>22</v>
      </c>
      <c r="U175">
        <f t="shared" si="23"/>
        <v>1</v>
      </c>
      <c r="V175">
        <v>8.64979915596426</v>
      </c>
      <c r="W175">
        <v>8.6351539890498028</v>
      </c>
      <c r="X175">
        <v>12.138863895836725</v>
      </c>
      <c r="Y175" t="s">
        <v>23</v>
      </c>
    </row>
    <row r="176" spans="1:25" x14ac:dyDescent="0.3">
      <c r="A176" t="s">
        <v>205</v>
      </c>
      <c r="B176" t="s">
        <v>18</v>
      </c>
      <c r="C176">
        <f t="shared" si="16"/>
        <v>1</v>
      </c>
      <c r="D176" t="s">
        <v>25</v>
      </c>
      <c r="E176">
        <f t="shared" si="17"/>
        <v>1</v>
      </c>
      <c r="F176">
        <v>0</v>
      </c>
      <c r="G176" t="s">
        <v>30</v>
      </c>
      <c r="H176">
        <f t="shared" si="18"/>
        <v>0</v>
      </c>
      <c r="I176" t="s">
        <v>25</v>
      </c>
      <c r="J176">
        <f t="shared" si="19"/>
        <v>1</v>
      </c>
      <c r="K176">
        <v>4344</v>
      </c>
      <c r="L176">
        <v>736</v>
      </c>
      <c r="M176">
        <v>87000</v>
      </c>
      <c r="N176">
        <v>360</v>
      </c>
      <c r="O176">
        <v>1</v>
      </c>
      <c r="P176" t="s">
        <v>35</v>
      </c>
      <c r="Q176">
        <f t="shared" si="20"/>
        <v>0</v>
      </c>
      <c r="R176">
        <f t="shared" si="21"/>
        <v>1</v>
      </c>
      <c r="S176">
        <f t="shared" si="22"/>
        <v>0</v>
      </c>
      <c r="T176" t="s">
        <v>27</v>
      </c>
      <c r="U176">
        <f t="shared" si="23"/>
        <v>0</v>
      </c>
      <c r="V176">
        <v>8.3767810376994927</v>
      </c>
      <c r="W176">
        <v>6.6025878921893364</v>
      </c>
      <c r="X176">
        <v>11.373663397636721</v>
      </c>
      <c r="Y176" t="s">
        <v>23</v>
      </c>
    </row>
    <row r="177" spans="1:25" x14ac:dyDescent="0.3">
      <c r="A177" t="s">
        <v>206</v>
      </c>
      <c r="B177" t="s">
        <v>18</v>
      </c>
      <c r="C177">
        <f t="shared" si="16"/>
        <v>1</v>
      </c>
      <c r="D177" t="s">
        <v>25</v>
      </c>
      <c r="E177">
        <f t="shared" si="17"/>
        <v>1</v>
      </c>
      <c r="F177">
        <v>0</v>
      </c>
      <c r="G177" t="s">
        <v>20</v>
      </c>
      <c r="H177">
        <f t="shared" si="18"/>
        <v>1</v>
      </c>
      <c r="I177" t="s">
        <v>19</v>
      </c>
      <c r="J177">
        <f t="shared" si="19"/>
        <v>0</v>
      </c>
      <c r="K177">
        <v>3497</v>
      </c>
      <c r="L177">
        <v>1964</v>
      </c>
      <c r="M177">
        <v>116000</v>
      </c>
      <c r="N177">
        <v>360</v>
      </c>
      <c r="O177">
        <v>1</v>
      </c>
      <c r="P177" t="s">
        <v>26</v>
      </c>
      <c r="Q177">
        <f t="shared" si="20"/>
        <v>0</v>
      </c>
      <c r="R177">
        <f t="shared" si="21"/>
        <v>0</v>
      </c>
      <c r="S177">
        <f t="shared" si="22"/>
        <v>1</v>
      </c>
      <c r="T177" t="s">
        <v>22</v>
      </c>
      <c r="U177">
        <f t="shared" si="23"/>
        <v>1</v>
      </c>
      <c r="V177">
        <v>8.1599466555785476</v>
      </c>
      <c r="W177">
        <v>7.5832475243033617</v>
      </c>
      <c r="X177">
        <v>11.661345470088502</v>
      </c>
      <c r="Y177" t="s">
        <v>23</v>
      </c>
    </row>
    <row r="178" spans="1:25" x14ac:dyDescent="0.3">
      <c r="A178" t="s">
        <v>207</v>
      </c>
      <c r="B178" t="s">
        <v>18</v>
      </c>
      <c r="C178">
        <f t="shared" si="16"/>
        <v>1</v>
      </c>
      <c r="D178" t="s">
        <v>25</v>
      </c>
      <c r="E178">
        <f t="shared" si="17"/>
        <v>1</v>
      </c>
      <c r="F178">
        <v>2</v>
      </c>
      <c r="G178" t="s">
        <v>20</v>
      </c>
      <c r="H178">
        <f t="shared" si="18"/>
        <v>1</v>
      </c>
      <c r="I178" t="s">
        <v>19</v>
      </c>
      <c r="J178">
        <f t="shared" si="19"/>
        <v>0</v>
      </c>
      <c r="K178">
        <v>2045</v>
      </c>
      <c r="L178">
        <v>1619</v>
      </c>
      <c r="M178">
        <v>101000</v>
      </c>
      <c r="N178">
        <v>360</v>
      </c>
      <c r="O178">
        <v>1</v>
      </c>
      <c r="P178" t="s">
        <v>26</v>
      </c>
      <c r="Q178">
        <f t="shared" si="20"/>
        <v>0</v>
      </c>
      <c r="R178">
        <f t="shared" si="21"/>
        <v>0</v>
      </c>
      <c r="S178">
        <f t="shared" si="22"/>
        <v>1</v>
      </c>
      <c r="T178" t="s">
        <v>22</v>
      </c>
      <c r="U178">
        <f t="shared" si="23"/>
        <v>1</v>
      </c>
      <c r="V178">
        <v>7.6236419465115706</v>
      </c>
      <c r="W178">
        <v>7.3901814282264304</v>
      </c>
      <c r="X178">
        <v>11.522875795823397</v>
      </c>
      <c r="Y178" t="s">
        <v>23</v>
      </c>
    </row>
    <row r="179" spans="1:25" x14ac:dyDescent="0.3">
      <c r="A179" t="s">
        <v>208</v>
      </c>
      <c r="B179" t="s">
        <v>18</v>
      </c>
      <c r="C179">
        <f t="shared" si="16"/>
        <v>1</v>
      </c>
      <c r="D179" t="s">
        <v>25</v>
      </c>
      <c r="E179">
        <f t="shared" si="17"/>
        <v>1</v>
      </c>
      <c r="F179">
        <v>3</v>
      </c>
      <c r="G179" t="s">
        <v>20</v>
      </c>
      <c r="H179">
        <f t="shared" si="18"/>
        <v>1</v>
      </c>
      <c r="I179" t="s">
        <v>19</v>
      </c>
      <c r="J179">
        <f t="shared" si="19"/>
        <v>0</v>
      </c>
      <c r="K179">
        <v>5516</v>
      </c>
      <c r="L179">
        <v>11300</v>
      </c>
      <c r="M179">
        <v>495000</v>
      </c>
      <c r="N179">
        <v>360</v>
      </c>
      <c r="O179">
        <v>0</v>
      </c>
      <c r="P179" t="s">
        <v>35</v>
      </c>
      <c r="Q179">
        <f t="shared" si="20"/>
        <v>0</v>
      </c>
      <c r="R179">
        <f t="shared" si="21"/>
        <v>1</v>
      </c>
      <c r="S179">
        <f t="shared" si="22"/>
        <v>0</v>
      </c>
      <c r="T179" t="s">
        <v>27</v>
      </c>
      <c r="U179">
        <f t="shared" si="23"/>
        <v>0</v>
      </c>
      <c r="V179">
        <v>8.6155895132724307</v>
      </c>
      <c r="W179">
        <v>9.3326464963601516</v>
      </c>
      <c r="X179">
        <v>13.112313041550827</v>
      </c>
      <c r="Y179" t="s">
        <v>23</v>
      </c>
    </row>
    <row r="180" spans="1:25" x14ac:dyDescent="0.3">
      <c r="A180" t="s">
        <v>209</v>
      </c>
      <c r="B180" t="s">
        <v>18</v>
      </c>
      <c r="C180">
        <f t="shared" si="16"/>
        <v>1</v>
      </c>
      <c r="D180" t="s">
        <v>25</v>
      </c>
      <c r="E180">
        <f t="shared" si="17"/>
        <v>1</v>
      </c>
      <c r="F180">
        <v>1</v>
      </c>
      <c r="G180" t="s">
        <v>20</v>
      </c>
      <c r="H180">
        <f t="shared" si="18"/>
        <v>1</v>
      </c>
      <c r="I180" t="s">
        <v>19</v>
      </c>
      <c r="J180">
        <f t="shared" si="19"/>
        <v>0</v>
      </c>
      <c r="K180">
        <v>3750</v>
      </c>
      <c r="L180">
        <v>0</v>
      </c>
      <c r="M180">
        <v>116000</v>
      </c>
      <c r="N180">
        <v>360</v>
      </c>
      <c r="O180">
        <v>1</v>
      </c>
      <c r="P180" t="s">
        <v>35</v>
      </c>
      <c r="Q180">
        <f t="shared" si="20"/>
        <v>0</v>
      </c>
      <c r="R180">
        <f t="shared" si="21"/>
        <v>1</v>
      </c>
      <c r="S180">
        <f t="shared" si="22"/>
        <v>0</v>
      </c>
      <c r="T180" t="s">
        <v>22</v>
      </c>
      <c r="U180">
        <f t="shared" si="23"/>
        <v>1</v>
      </c>
      <c r="V180">
        <v>8.2297777500818867</v>
      </c>
      <c r="W180">
        <v>0</v>
      </c>
      <c r="X180">
        <v>11.661345470088502</v>
      </c>
      <c r="Y180" t="s">
        <v>23</v>
      </c>
    </row>
    <row r="181" spans="1:25" x14ac:dyDescent="0.3">
      <c r="A181" t="s">
        <v>210</v>
      </c>
      <c r="B181" t="s">
        <v>18</v>
      </c>
      <c r="C181">
        <f t="shared" si="16"/>
        <v>1</v>
      </c>
      <c r="D181" t="s">
        <v>19</v>
      </c>
      <c r="E181">
        <f t="shared" si="17"/>
        <v>0</v>
      </c>
      <c r="F181">
        <v>0</v>
      </c>
      <c r="G181" t="s">
        <v>30</v>
      </c>
      <c r="H181">
        <f t="shared" si="18"/>
        <v>0</v>
      </c>
      <c r="I181" t="s">
        <v>19</v>
      </c>
      <c r="J181">
        <f t="shared" si="19"/>
        <v>0</v>
      </c>
      <c r="K181">
        <v>2333</v>
      </c>
      <c r="L181">
        <v>1451</v>
      </c>
      <c r="M181">
        <v>102000</v>
      </c>
      <c r="N181">
        <v>480</v>
      </c>
      <c r="O181">
        <v>0</v>
      </c>
      <c r="P181" t="s">
        <v>21</v>
      </c>
      <c r="Q181">
        <f t="shared" si="20"/>
        <v>1</v>
      </c>
      <c r="R181">
        <f t="shared" si="21"/>
        <v>0</v>
      </c>
      <c r="S181">
        <f t="shared" si="22"/>
        <v>0</v>
      </c>
      <c r="T181" t="s">
        <v>27</v>
      </c>
      <c r="U181">
        <f t="shared" si="23"/>
        <v>0</v>
      </c>
      <c r="V181">
        <v>7.7553388128465013</v>
      </c>
      <c r="W181">
        <v>7.2806971953847412</v>
      </c>
      <c r="X181">
        <v>11.532728092266408</v>
      </c>
      <c r="Y181" t="s">
        <v>23</v>
      </c>
    </row>
    <row r="182" spans="1:25" x14ac:dyDescent="0.3">
      <c r="A182" t="s">
        <v>211</v>
      </c>
      <c r="B182" t="s">
        <v>18</v>
      </c>
      <c r="C182">
        <f t="shared" si="16"/>
        <v>1</v>
      </c>
      <c r="D182" t="s">
        <v>25</v>
      </c>
      <c r="E182">
        <f t="shared" si="17"/>
        <v>1</v>
      </c>
      <c r="F182">
        <v>1</v>
      </c>
      <c r="G182" t="s">
        <v>20</v>
      </c>
      <c r="H182">
        <f t="shared" si="18"/>
        <v>1</v>
      </c>
      <c r="I182" t="s">
        <v>19</v>
      </c>
      <c r="J182">
        <f t="shared" si="19"/>
        <v>0</v>
      </c>
      <c r="K182">
        <v>6400</v>
      </c>
      <c r="L182">
        <v>7250</v>
      </c>
      <c r="M182">
        <v>180000</v>
      </c>
      <c r="N182">
        <v>360</v>
      </c>
      <c r="O182">
        <v>0</v>
      </c>
      <c r="P182" t="s">
        <v>21</v>
      </c>
      <c r="Q182">
        <f t="shared" si="20"/>
        <v>1</v>
      </c>
      <c r="R182">
        <f t="shared" si="21"/>
        <v>0</v>
      </c>
      <c r="S182">
        <f t="shared" si="22"/>
        <v>0</v>
      </c>
      <c r="T182" t="s">
        <v>27</v>
      </c>
      <c r="U182">
        <f t="shared" si="23"/>
        <v>0</v>
      </c>
      <c r="V182">
        <v>8.7642095071420041</v>
      </c>
      <c r="W182">
        <v>8.8888946693715933</v>
      </c>
      <c r="X182">
        <v>12.100712129872347</v>
      </c>
      <c r="Y182" t="s">
        <v>23</v>
      </c>
    </row>
    <row r="183" spans="1:25" x14ac:dyDescent="0.3">
      <c r="A183" t="s">
        <v>212</v>
      </c>
      <c r="B183" t="s">
        <v>18</v>
      </c>
      <c r="C183">
        <f t="shared" si="16"/>
        <v>1</v>
      </c>
      <c r="D183" t="s">
        <v>19</v>
      </c>
      <c r="E183">
        <f t="shared" si="17"/>
        <v>0</v>
      </c>
      <c r="F183">
        <v>0</v>
      </c>
      <c r="G183" t="s">
        <v>20</v>
      </c>
      <c r="H183">
        <f t="shared" si="18"/>
        <v>1</v>
      </c>
      <c r="I183" t="s">
        <v>19</v>
      </c>
      <c r="J183">
        <f t="shared" si="19"/>
        <v>0</v>
      </c>
      <c r="K183">
        <v>1916</v>
      </c>
      <c r="L183">
        <v>5063</v>
      </c>
      <c r="M183">
        <v>67000</v>
      </c>
      <c r="N183">
        <v>360</v>
      </c>
      <c r="O183">
        <v>1</v>
      </c>
      <c r="P183" t="s">
        <v>26</v>
      </c>
      <c r="Q183">
        <f t="shared" si="20"/>
        <v>0</v>
      </c>
      <c r="R183">
        <f t="shared" si="21"/>
        <v>0</v>
      </c>
      <c r="S183">
        <f t="shared" si="22"/>
        <v>1</v>
      </c>
      <c r="T183" t="s">
        <v>27</v>
      </c>
      <c r="U183">
        <f t="shared" si="23"/>
        <v>0</v>
      </c>
      <c r="V183">
        <v>7.5585167430456446</v>
      </c>
      <c r="W183">
        <v>8.5299119638240128</v>
      </c>
      <c r="X183">
        <v>11.112447898373103</v>
      </c>
      <c r="Y183" t="s">
        <v>23</v>
      </c>
    </row>
    <row r="184" spans="1:25" x14ac:dyDescent="0.3">
      <c r="A184" t="s">
        <v>213</v>
      </c>
      <c r="B184" t="s">
        <v>18</v>
      </c>
      <c r="C184">
        <f t="shared" si="16"/>
        <v>1</v>
      </c>
      <c r="D184" t="s">
        <v>25</v>
      </c>
      <c r="E184">
        <f t="shared" si="17"/>
        <v>1</v>
      </c>
      <c r="F184">
        <v>0</v>
      </c>
      <c r="G184" t="s">
        <v>20</v>
      </c>
      <c r="H184">
        <f t="shared" si="18"/>
        <v>1</v>
      </c>
      <c r="I184" t="s">
        <v>19</v>
      </c>
      <c r="J184">
        <f t="shared" si="19"/>
        <v>0</v>
      </c>
      <c r="K184">
        <v>4600</v>
      </c>
      <c r="L184">
        <v>0</v>
      </c>
      <c r="M184">
        <v>73000</v>
      </c>
      <c r="N184">
        <v>180</v>
      </c>
      <c r="O184">
        <v>1</v>
      </c>
      <c r="P184" t="s">
        <v>35</v>
      </c>
      <c r="Q184">
        <f t="shared" si="20"/>
        <v>0</v>
      </c>
      <c r="R184">
        <f t="shared" si="21"/>
        <v>1</v>
      </c>
      <c r="S184">
        <f t="shared" si="22"/>
        <v>0</v>
      </c>
      <c r="T184" t="s">
        <v>22</v>
      </c>
      <c r="U184">
        <f t="shared" si="23"/>
        <v>1</v>
      </c>
      <c r="V184">
        <v>8.4340289501554686</v>
      </c>
      <c r="W184">
        <v>0</v>
      </c>
      <c r="X184">
        <v>11.198214720130528</v>
      </c>
      <c r="Y184" t="s">
        <v>46</v>
      </c>
    </row>
    <row r="185" spans="1:25" x14ac:dyDescent="0.3">
      <c r="A185" t="s">
        <v>214</v>
      </c>
      <c r="B185" t="s">
        <v>18</v>
      </c>
      <c r="C185">
        <f t="shared" si="16"/>
        <v>1</v>
      </c>
      <c r="D185" t="s">
        <v>25</v>
      </c>
      <c r="E185">
        <f t="shared" si="17"/>
        <v>1</v>
      </c>
      <c r="F185">
        <v>1</v>
      </c>
      <c r="G185" t="s">
        <v>20</v>
      </c>
      <c r="H185">
        <f t="shared" si="18"/>
        <v>1</v>
      </c>
      <c r="I185" t="s">
        <v>19</v>
      </c>
      <c r="J185">
        <f t="shared" si="19"/>
        <v>0</v>
      </c>
      <c r="K185">
        <v>33846</v>
      </c>
      <c r="L185">
        <v>0</v>
      </c>
      <c r="M185">
        <v>260000</v>
      </c>
      <c r="N185">
        <v>360</v>
      </c>
      <c r="O185">
        <v>1</v>
      </c>
      <c r="P185" t="s">
        <v>35</v>
      </c>
      <c r="Q185">
        <f t="shared" si="20"/>
        <v>0</v>
      </c>
      <c r="R185">
        <f t="shared" si="21"/>
        <v>1</v>
      </c>
      <c r="S185">
        <f t="shared" si="22"/>
        <v>0</v>
      </c>
      <c r="T185" t="s">
        <v>27</v>
      </c>
      <c r="U185">
        <f t="shared" si="23"/>
        <v>0</v>
      </c>
      <c r="V185">
        <v>10.429605648120409</v>
      </c>
      <c r="W185">
        <v>0</v>
      </c>
      <c r="X185">
        <v>12.468436909997665</v>
      </c>
      <c r="Y185" t="s">
        <v>23</v>
      </c>
    </row>
    <row r="186" spans="1:25" x14ac:dyDescent="0.3">
      <c r="A186" t="s">
        <v>215</v>
      </c>
      <c r="B186" t="s">
        <v>48</v>
      </c>
      <c r="C186">
        <f t="shared" si="16"/>
        <v>0</v>
      </c>
      <c r="D186" t="s">
        <v>25</v>
      </c>
      <c r="E186">
        <f t="shared" si="17"/>
        <v>1</v>
      </c>
      <c r="F186">
        <v>0</v>
      </c>
      <c r="G186" t="s">
        <v>20</v>
      </c>
      <c r="H186">
        <f t="shared" si="18"/>
        <v>1</v>
      </c>
      <c r="I186" t="s">
        <v>19</v>
      </c>
      <c r="J186">
        <f t="shared" si="19"/>
        <v>0</v>
      </c>
      <c r="K186">
        <v>3625</v>
      </c>
      <c r="L186">
        <v>0</v>
      </c>
      <c r="M186">
        <v>108000</v>
      </c>
      <c r="N186">
        <v>360</v>
      </c>
      <c r="O186">
        <v>1</v>
      </c>
      <c r="P186" t="s">
        <v>35</v>
      </c>
      <c r="Q186">
        <f t="shared" si="20"/>
        <v>0</v>
      </c>
      <c r="R186">
        <f t="shared" si="21"/>
        <v>1</v>
      </c>
      <c r="S186">
        <f t="shared" si="22"/>
        <v>0</v>
      </c>
      <c r="T186" t="s">
        <v>22</v>
      </c>
      <c r="U186">
        <f t="shared" si="23"/>
        <v>1</v>
      </c>
      <c r="V186">
        <v>8.1958853913147962</v>
      </c>
      <c r="W186">
        <v>0</v>
      </c>
      <c r="X186">
        <v>11.589886506106357</v>
      </c>
      <c r="Y186" t="s">
        <v>23</v>
      </c>
    </row>
    <row r="187" spans="1:25" x14ac:dyDescent="0.3">
      <c r="A187" t="s">
        <v>216</v>
      </c>
      <c r="B187" t="s">
        <v>18</v>
      </c>
      <c r="C187">
        <f t="shared" si="16"/>
        <v>1</v>
      </c>
      <c r="D187" t="s">
        <v>25</v>
      </c>
      <c r="E187">
        <f t="shared" si="17"/>
        <v>1</v>
      </c>
      <c r="F187">
        <v>0</v>
      </c>
      <c r="G187" t="s">
        <v>20</v>
      </c>
      <c r="H187">
        <f t="shared" si="18"/>
        <v>1</v>
      </c>
      <c r="I187" t="s">
        <v>25</v>
      </c>
      <c r="J187">
        <f t="shared" si="19"/>
        <v>1</v>
      </c>
      <c r="K187">
        <v>39147</v>
      </c>
      <c r="L187">
        <v>4750</v>
      </c>
      <c r="M187">
        <v>120000</v>
      </c>
      <c r="N187">
        <v>360</v>
      </c>
      <c r="O187">
        <v>1</v>
      </c>
      <c r="P187" t="s">
        <v>35</v>
      </c>
      <c r="Q187">
        <f t="shared" si="20"/>
        <v>0</v>
      </c>
      <c r="R187">
        <f t="shared" si="21"/>
        <v>1</v>
      </c>
      <c r="S187">
        <f t="shared" si="22"/>
        <v>0</v>
      </c>
      <c r="T187" t="s">
        <v>22</v>
      </c>
      <c r="U187">
        <f t="shared" si="23"/>
        <v>1</v>
      </c>
      <c r="V187">
        <v>10.57510461454571</v>
      </c>
      <c r="W187">
        <v>8.4661104011869206</v>
      </c>
      <c r="X187">
        <v>11.695247021764184</v>
      </c>
      <c r="Y187" t="s">
        <v>23</v>
      </c>
    </row>
    <row r="188" spans="1:25" x14ac:dyDescent="0.3">
      <c r="A188" t="s">
        <v>217</v>
      </c>
      <c r="B188" t="s">
        <v>18</v>
      </c>
      <c r="C188">
        <f t="shared" si="16"/>
        <v>1</v>
      </c>
      <c r="D188" t="s">
        <v>25</v>
      </c>
      <c r="E188">
        <f t="shared" si="17"/>
        <v>1</v>
      </c>
      <c r="F188">
        <v>1</v>
      </c>
      <c r="G188" t="s">
        <v>20</v>
      </c>
      <c r="H188">
        <f t="shared" si="18"/>
        <v>1</v>
      </c>
      <c r="I188" t="s">
        <v>25</v>
      </c>
      <c r="J188">
        <f t="shared" si="19"/>
        <v>1</v>
      </c>
      <c r="K188">
        <v>2178</v>
      </c>
      <c r="L188">
        <v>0</v>
      </c>
      <c r="M188">
        <v>66000</v>
      </c>
      <c r="N188">
        <v>300</v>
      </c>
      <c r="O188">
        <v>0</v>
      </c>
      <c r="P188" t="s">
        <v>26</v>
      </c>
      <c r="Q188">
        <f t="shared" si="20"/>
        <v>0</v>
      </c>
      <c r="R188">
        <f t="shared" si="21"/>
        <v>0</v>
      </c>
      <c r="S188">
        <f t="shared" si="22"/>
        <v>1</v>
      </c>
      <c r="T188" t="s">
        <v>27</v>
      </c>
      <c r="U188">
        <f t="shared" si="23"/>
        <v>0</v>
      </c>
      <c r="V188">
        <v>7.6866213349446202</v>
      </c>
      <c r="W188">
        <v>0</v>
      </c>
      <c r="X188">
        <v>11.097410021008562</v>
      </c>
      <c r="Y188" t="s">
        <v>46</v>
      </c>
    </row>
    <row r="189" spans="1:25" x14ac:dyDescent="0.3">
      <c r="A189" t="s">
        <v>218</v>
      </c>
      <c r="B189" t="s">
        <v>18</v>
      </c>
      <c r="C189">
        <f t="shared" si="16"/>
        <v>1</v>
      </c>
      <c r="D189" t="s">
        <v>25</v>
      </c>
      <c r="E189">
        <f t="shared" si="17"/>
        <v>1</v>
      </c>
      <c r="F189">
        <v>0</v>
      </c>
      <c r="G189" t="s">
        <v>20</v>
      </c>
      <c r="H189">
        <f t="shared" si="18"/>
        <v>1</v>
      </c>
      <c r="I189" t="s">
        <v>19</v>
      </c>
      <c r="J189">
        <f t="shared" si="19"/>
        <v>0</v>
      </c>
      <c r="K189">
        <v>2383</v>
      </c>
      <c r="L189">
        <v>2138</v>
      </c>
      <c r="M189">
        <v>58000</v>
      </c>
      <c r="N189">
        <v>360</v>
      </c>
      <c r="O189">
        <v>1</v>
      </c>
      <c r="P189" t="s">
        <v>26</v>
      </c>
      <c r="Q189">
        <f t="shared" si="20"/>
        <v>0</v>
      </c>
      <c r="R189">
        <f t="shared" si="21"/>
        <v>0</v>
      </c>
      <c r="S189">
        <f t="shared" si="22"/>
        <v>1</v>
      </c>
      <c r="T189" t="s">
        <v>22</v>
      </c>
      <c r="U189">
        <f t="shared" si="23"/>
        <v>1</v>
      </c>
      <c r="V189">
        <v>7.7765350281852408</v>
      </c>
      <c r="W189">
        <v>7.668093709082406</v>
      </c>
      <c r="X189">
        <v>10.968198289528557</v>
      </c>
      <c r="Y189" t="s">
        <v>23</v>
      </c>
    </row>
    <row r="190" spans="1:25" x14ac:dyDescent="0.3">
      <c r="A190" t="s">
        <v>219</v>
      </c>
      <c r="B190" t="s">
        <v>18</v>
      </c>
      <c r="C190">
        <f t="shared" si="16"/>
        <v>1</v>
      </c>
      <c r="D190" t="s">
        <v>25</v>
      </c>
      <c r="E190">
        <f t="shared" si="17"/>
        <v>1</v>
      </c>
      <c r="F190">
        <v>0</v>
      </c>
      <c r="G190" t="s">
        <v>20</v>
      </c>
      <c r="H190">
        <f t="shared" si="18"/>
        <v>1</v>
      </c>
      <c r="I190" t="s">
        <v>25</v>
      </c>
      <c r="J190">
        <f t="shared" si="19"/>
        <v>1</v>
      </c>
      <c r="K190">
        <v>674</v>
      </c>
      <c r="L190">
        <v>5296</v>
      </c>
      <c r="M190">
        <v>168000</v>
      </c>
      <c r="N190">
        <v>360</v>
      </c>
      <c r="O190">
        <v>1</v>
      </c>
      <c r="P190" t="s">
        <v>26</v>
      </c>
      <c r="Q190">
        <f t="shared" si="20"/>
        <v>0</v>
      </c>
      <c r="R190">
        <f t="shared" si="21"/>
        <v>0</v>
      </c>
      <c r="S190">
        <f t="shared" si="22"/>
        <v>1</v>
      </c>
      <c r="T190" t="s">
        <v>22</v>
      </c>
      <c r="U190">
        <f t="shared" si="23"/>
        <v>1</v>
      </c>
      <c r="V190">
        <v>6.5147126908725301</v>
      </c>
      <c r="W190">
        <v>8.5748959015445259</v>
      </c>
      <c r="X190">
        <v>12.031719258385396</v>
      </c>
      <c r="Y190" t="s">
        <v>23</v>
      </c>
    </row>
    <row r="191" spans="1:25" x14ac:dyDescent="0.3">
      <c r="A191" t="s">
        <v>220</v>
      </c>
      <c r="B191" t="s">
        <v>18</v>
      </c>
      <c r="C191">
        <f t="shared" si="16"/>
        <v>1</v>
      </c>
      <c r="D191" t="s">
        <v>25</v>
      </c>
      <c r="E191">
        <f t="shared" si="17"/>
        <v>1</v>
      </c>
      <c r="F191">
        <v>0</v>
      </c>
      <c r="G191" t="s">
        <v>20</v>
      </c>
      <c r="H191">
        <f t="shared" si="18"/>
        <v>1</v>
      </c>
      <c r="I191" t="s">
        <v>19</v>
      </c>
      <c r="J191">
        <f t="shared" si="19"/>
        <v>0</v>
      </c>
      <c r="K191">
        <v>9328</v>
      </c>
      <c r="L191">
        <v>0</v>
      </c>
      <c r="M191">
        <v>188000</v>
      </c>
      <c r="N191">
        <v>180</v>
      </c>
      <c r="O191">
        <v>1</v>
      </c>
      <c r="P191" t="s">
        <v>26</v>
      </c>
      <c r="Q191">
        <f t="shared" si="20"/>
        <v>0</v>
      </c>
      <c r="R191">
        <f t="shared" si="21"/>
        <v>0</v>
      </c>
      <c r="S191">
        <f t="shared" si="22"/>
        <v>1</v>
      </c>
      <c r="T191" t="s">
        <v>22</v>
      </c>
      <c r="U191">
        <f t="shared" si="23"/>
        <v>1</v>
      </c>
      <c r="V191">
        <v>9.1408831069609615</v>
      </c>
      <c r="W191">
        <v>0</v>
      </c>
      <c r="X191">
        <v>12.144197241812087</v>
      </c>
      <c r="Y191" t="s">
        <v>46</v>
      </c>
    </row>
    <row r="192" spans="1:25" x14ac:dyDescent="0.3">
      <c r="A192" t="s">
        <v>221</v>
      </c>
      <c r="B192" t="s">
        <v>18</v>
      </c>
      <c r="C192">
        <f t="shared" si="16"/>
        <v>1</v>
      </c>
      <c r="D192" t="s">
        <v>19</v>
      </c>
      <c r="E192">
        <f t="shared" si="17"/>
        <v>0</v>
      </c>
      <c r="F192">
        <v>0</v>
      </c>
      <c r="G192" t="s">
        <v>30</v>
      </c>
      <c r="H192">
        <f t="shared" si="18"/>
        <v>0</v>
      </c>
      <c r="I192" t="s">
        <v>19</v>
      </c>
      <c r="J192">
        <f t="shared" si="19"/>
        <v>0</v>
      </c>
      <c r="K192">
        <v>4885</v>
      </c>
      <c r="L192">
        <v>0</v>
      </c>
      <c r="M192">
        <v>48000</v>
      </c>
      <c r="N192">
        <v>360</v>
      </c>
      <c r="O192">
        <v>1</v>
      </c>
      <c r="P192" t="s">
        <v>26</v>
      </c>
      <c r="Q192">
        <f t="shared" si="20"/>
        <v>0</v>
      </c>
      <c r="R192">
        <f t="shared" si="21"/>
        <v>0</v>
      </c>
      <c r="S192">
        <f t="shared" si="22"/>
        <v>1</v>
      </c>
      <c r="T192" t="s">
        <v>22</v>
      </c>
      <c r="U192">
        <f t="shared" si="23"/>
        <v>1</v>
      </c>
      <c r="V192">
        <v>8.4941292518176859</v>
      </c>
      <c r="W192">
        <v>0</v>
      </c>
      <c r="X192">
        <v>10.778956289890028</v>
      </c>
      <c r="Y192" t="s">
        <v>23</v>
      </c>
    </row>
    <row r="193" spans="1:25" x14ac:dyDescent="0.3">
      <c r="A193" t="s">
        <v>222</v>
      </c>
      <c r="B193" t="s">
        <v>18</v>
      </c>
      <c r="C193">
        <f t="shared" si="16"/>
        <v>1</v>
      </c>
      <c r="D193" t="s">
        <v>19</v>
      </c>
      <c r="E193">
        <f t="shared" si="17"/>
        <v>0</v>
      </c>
      <c r="F193">
        <v>0</v>
      </c>
      <c r="G193" t="s">
        <v>20</v>
      </c>
      <c r="H193">
        <f t="shared" si="18"/>
        <v>1</v>
      </c>
      <c r="I193" t="s">
        <v>19</v>
      </c>
      <c r="J193">
        <f t="shared" si="19"/>
        <v>0</v>
      </c>
      <c r="K193">
        <v>12000</v>
      </c>
      <c r="L193">
        <v>0</v>
      </c>
      <c r="M193">
        <v>164000</v>
      </c>
      <c r="N193">
        <v>360</v>
      </c>
      <c r="O193">
        <v>1</v>
      </c>
      <c r="P193" t="s">
        <v>35</v>
      </c>
      <c r="Q193">
        <f t="shared" si="20"/>
        <v>0</v>
      </c>
      <c r="R193">
        <f t="shared" si="21"/>
        <v>1</v>
      </c>
      <c r="S193">
        <f t="shared" si="22"/>
        <v>0</v>
      </c>
      <c r="T193" t="s">
        <v>27</v>
      </c>
      <c r="U193">
        <f t="shared" si="23"/>
        <v>0</v>
      </c>
      <c r="V193">
        <v>9.3927452586314413</v>
      </c>
      <c r="W193">
        <v>0</v>
      </c>
      <c r="X193">
        <v>12.007621706806335</v>
      </c>
      <c r="Y193" t="s">
        <v>23</v>
      </c>
    </row>
    <row r="194" spans="1:25" x14ac:dyDescent="0.3">
      <c r="A194" t="s">
        <v>223</v>
      </c>
      <c r="B194" t="s">
        <v>18</v>
      </c>
      <c r="C194">
        <f t="shared" si="16"/>
        <v>1</v>
      </c>
      <c r="D194" t="s">
        <v>25</v>
      </c>
      <c r="E194">
        <f t="shared" si="17"/>
        <v>1</v>
      </c>
      <c r="F194">
        <v>0</v>
      </c>
      <c r="G194" t="s">
        <v>30</v>
      </c>
      <c r="H194">
        <f t="shared" si="18"/>
        <v>0</v>
      </c>
      <c r="I194" t="s">
        <v>19</v>
      </c>
      <c r="J194">
        <f t="shared" si="19"/>
        <v>0</v>
      </c>
      <c r="K194">
        <v>6033</v>
      </c>
      <c r="L194">
        <v>0</v>
      </c>
      <c r="M194">
        <v>160000</v>
      </c>
      <c r="N194">
        <v>360</v>
      </c>
      <c r="O194">
        <v>1</v>
      </c>
      <c r="P194" t="s">
        <v>21</v>
      </c>
      <c r="Q194">
        <f t="shared" si="20"/>
        <v>1</v>
      </c>
      <c r="R194">
        <f t="shared" si="21"/>
        <v>0</v>
      </c>
      <c r="S194">
        <f t="shared" si="22"/>
        <v>0</v>
      </c>
      <c r="T194" t="s">
        <v>27</v>
      </c>
      <c r="U194">
        <f t="shared" si="23"/>
        <v>0</v>
      </c>
      <c r="V194">
        <v>8.7051654197190071</v>
      </c>
      <c r="W194">
        <v>0</v>
      </c>
      <c r="X194">
        <v>11.982929094215963</v>
      </c>
      <c r="Y194" t="s">
        <v>23</v>
      </c>
    </row>
    <row r="195" spans="1:25" x14ac:dyDescent="0.3">
      <c r="A195" t="s">
        <v>224</v>
      </c>
      <c r="B195" t="s">
        <v>18</v>
      </c>
      <c r="C195">
        <f t="shared" ref="C195:C258" si="24">IF(B195="Male",1,0)</f>
        <v>1</v>
      </c>
      <c r="D195" t="s">
        <v>19</v>
      </c>
      <c r="E195">
        <f t="shared" ref="E195:E258" si="25">IF(D195="No",0,1)</f>
        <v>0</v>
      </c>
      <c r="F195">
        <v>0</v>
      </c>
      <c r="G195" t="s">
        <v>20</v>
      </c>
      <c r="H195">
        <f t="shared" ref="H195:H258" si="26">IF(G195="Graduate",1,0)</f>
        <v>1</v>
      </c>
      <c r="I195" t="s">
        <v>19</v>
      </c>
      <c r="J195">
        <f t="shared" ref="J195:J258" si="27">IF(I195="No",0,1)</f>
        <v>0</v>
      </c>
      <c r="K195">
        <v>3858</v>
      </c>
      <c r="L195">
        <v>0</v>
      </c>
      <c r="M195">
        <v>76000</v>
      </c>
      <c r="N195">
        <v>360</v>
      </c>
      <c r="O195">
        <v>1</v>
      </c>
      <c r="P195" t="s">
        <v>35</v>
      </c>
      <c r="Q195">
        <f t="shared" ref="Q195:Q258" si="28">IF(P195="Urban",1,0)</f>
        <v>0</v>
      </c>
      <c r="R195">
        <f t="shared" ref="R195:R258" si="29">IF(P195="Semiurban",1,0)</f>
        <v>1</v>
      </c>
      <c r="S195">
        <f t="shared" ref="S195:S258" si="30">IF(P195="Rural",1,0)</f>
        <v>0</v>
      </c>
      <c r="T195" t="s">
        <v>22</v>
      </c>
      <c r="U195">
        <f t="shared" ref="U195:U258" si="31">IF(T195="Y",1,0)</f>
        <v>1</v>
      </c>
      <c r="V195">
        <v>8.2581633615376191</v>
      </c>
      <c r="W195">
        <v>0</v>
      </c>
      <c r="X195">
        <v>11.238488619268468</v>
      </c>
      <c r="Y195" t="s">
        <v>23</v>
      </c>
    </row>
    <row r="196" spans="1:25" x14ac:dyDescent="0.3">
      <c r="A196" t="s">
        <v>225</v>
      </c>
      <c r="B196" t="s">
        <v>18</v>
      </c>
      <c r="C196">
        <f t="shared" si="24"/>
        <v>1</v>
      </c>
      <c r="D196" t="s">
        <v>19</v>
      </c>
      <c r="E196">
        <f t="shared" si="25"/>
        <v>0</v>
      </c>
      <c r="F196">
        <v>0</v>
      </c>
      <c r="G196" t="s">
        <v>20</v>
      </c>
      <c r="H196">
        <f t="shared" si="26"/>
        <v>1</v>
      </c>
      <c r="I196" t="s">
        <v>19</v>
      </c>
      <c r="J196">
        <f t="shared" si="27"/>
        <v>0</v>
      </c>
      <c r="K196">
        <v>4191</v>
      </c>
      <c r="L196">
        <v>0</v>
      </c>
      <c r="M196">
        <v>120000</v>
      </c>
      <c r="N196">
        <v>360</v>
      </c>
      <c r="O196">
        <v>1</v>
      </c>
      <c r="P196" t="s">
        <v>26</v>
      </c>
      <c r="Q196">
        <f t="shared" si="28"/>
        <v>0</v>
      </c>
      <c r="R196">
        <f t="shared" si="29"/>
        <v>0</v>
      </c>
      <c r="S196">
        <f t="shared" si="30"/>
        <v>1</v>
      </c>
      <c r="T196" t="s">
        <v>22</v>
      </c>
      <c r="U196">
        <f t="shared" si="31"/>
        <v>1</v>
      </c>
      <c r="V196">
        <v>8.3409332260008782</v>
      </c>
      <c r="W196">
        <v>0</v>
      </c>
      <c r="X196">
        <v>11.695247021764184</v>
      </c>
      <c r="Y196" t="s">
        <v>23</v>
      </c>
    </row>
    <row r="197" spans="1:25" x14ac:dyDescent="0.3">
      <c r="A197" t="s">
        <v>226</v>
      </c>
      <c r="B197" t="s">
        <v>18</v>
      </c>
      <c r="C197">
        <f t="shared" si="24"/>
        <v>1</v>
      </c>
      <c r="D197" t="s">
        <v>25</v>
      </c>
      <c r="E197">
        <f t="shared" si="25"/>
        <v>1</v>
      </c>
      <c r="F197">
        <v>1</v>
      </c>
      <c r="G197" t="s">
        <v>20</v>
      </c>
      <c r="H197">
        <f t="shared" si="26"/>
        <v>1</v>
      </c>
      <c r="I197" t="s">
        <v>19</v>
      </c>
      <c r="J197">
        <f t="shared" si="27"/>
        <v>0</v>
      </c>
      <c r="K197">
        <v>3125</v>
      </c>
      <c r="L197">
        <v>2583</v>
      </c>
      <c r="M197">
        <v>170000</v>
      </c>
      <c r="N197">
        <v>360</v>
      </c>
      <c r="O197">
        <v>1</v>
      </c>
      <c r="P197" t="s">
        <v>35</v>
      </c>
      <c r="Q197">
        <f t="shared" si="28"/>
        <v>0</v>
      </c>
      <c r="R197">
        <f t="shared" si="29"/>
        <v>1</v>
      </c>
      <c r="S197">
        <f t="shared" si="30"/>
        <v>0</v>
      </c>
      <c r="T197" t="s">
        <v>27</v>
      </c>
      <c r="U197">
        <f t="shared" si="31"/>
        <v>0</v>
      </c>
      <c r="V197">
        <v>8.0475095109814223</v>
      </c>
      <c r="W197">
        <v>7.8570938649024926</v>
      </c>
      <c r="X197">
        <v>12.043553716032399</v>
      </c>
      <c r="Y197" t="s">
        <v>23</v>
      </c>
    </row>
    <row r="198" spans="1:25" x14ac:dyDescent="0.3">
      <c r="A198" t="s">
        <v>227</v>
      </c>
      <c r="B198" t="s">
        <v>18</v>
      </c>
      <c r="C198">
        <f t="shared" si="24"/>
        <v>1</v>
      </c>
      <c r="D198" t="s">
        <v>19</v>
      </c>
      <c r="E198">
        <f t="shared" si="25"/>
        <v>0</v>
      </c>
      <c r="F198">
        <v>0</v>
      </c>
      <c r="G198" t="s">
        <v>20</v>
      </c>
      <c r="H198">
        <f t="shared" si="26"/>
        <v>1</v>
      </c>
      <c r="I198" t="s">
        <v>19</v>
      </c>
      <c r="J198">
        <f t="shared" si="27"/>
        <v>0</v>
      </c>
      <c r="K198">
        <v>8333</v>
      </c>
      <c r="L198">
        <v>3750</v>
      </c>
      <c r="M198">
        <v>187000</v>
      </c>
      <c r="N198">
        <v>360</v>
      </c>
      <c r="O198">
        <v>1</v>
      </c>
      <c r="P198" t="s">
        <v>26</v>
      </c>
      <c r="Q198">
        <f t="shared" si="28"/>
        <v>0</v>
      </c>
      <c r="R198">
        <f t="shared" si="29"/>
        <v>0</v>
      </c>
      <c r="S198">
        <f t="shared" si="30"/>
        <v>1</v>
      </c>
      <c r="T198" t="s">
        <v>22</v>
      </c>
      <c r="U198">
        <f t="shared" si="31"/>
        <v>1</v>
      </c>
      <c r="V198">
        <v>9.0280988119823995</v>
      </c>
      <c r="W198">
        <v>8.2297777500818867</v>
      </c>
      <c r="X198">
        <v>12.138863895836725</v>
      </c>
      <c r="Y198" t="s">
        <v>23</v>
      </c>
    </row>
    <row r="199" spans="1:25" x14ac:dyDescent="0.3">
      <c r="A199" t="s">
        <v>228</v>
      </c>
      <c r="B199" t="s">
        <v>48</v>
      </c>
      <c r="C199">
        <f t="shared" si="24"/>
        <v>0</v>
      </c>
      <c r="D199" t="s">
        <v>19</v>
      </c>
      <c r="E199">
        <f t="shared" si="25"/>
        <v>0</v>
      </c>
      <c r="F199">
        <v>0</v>
      </c>
      <c r="G199" t="s">
        <v>30</v>
      </c>
      <c r="H199">
        <f t="shared" si="26"/>
        <v>0</v>
      </c>
      <c r="I199" t="s">
        <v>19</v>
      </c>
      <c r="J199">
        <f t="shared" si="27"/>
        <v>0</v>
      </c>
      <c r="K199">
        <v>1907</v>
      </c>
      <c r="L199">
        <v>2365</v>
      </c>
      <c r="M199">
        <v>120000</v>
      </c>
      <c r="N199">
        <v>360</v>
      </c>
      <c r="O199">
        <v>1</v>
      </c>
      <c r="P199" t="s">
        <v>21</v>
      </c>
      <c r="Q199">
        <f t="shared" si="28"/>
        <v>1</v>
      </c>
      <c r="R199">
        <f t="shared" si="29"/>
        <v>0</v>
      </c>
      <c r="S199">
        <f t="shared" si="30"/>
        <v>0</v>
      </c>
      <c r="T199" t="s">
        <v>22</v>
      </c>
      <c r="U199">
        <f t="shared" si="31"/>
        <v>1</v>
      </c>
      <c r="V199">
        <v>7.5538108520082314</v>
      </c>
      <c r="W199">
        <v>7.7689560445383323</v>
      </c>
      <c r="X199">
        <v>11.695247021764184</v>
      </c>
      <c r="Y199" t="s">
        <v>23</v>
      </c>
    </row>
    <row r="200" spans="1:25" x14ac:dyDescent="0.3">
      <c r="A200" t="s">
        <v>229</v>
      </c>
      <c r="B200" t="s">
        <v>48</v>
      </c>
      <c r="C200">
        <f t="shared" si="24"/>
        <v>0</v>
      </c>
      <c r="D200" t="s">
        <v>25</v>
      </c>
      <c r="E200">
        <f t="shared" si="25"/>
        <v>1</v>
      </c>
      <c r="F200">
        <v>0</v>
      </c>
      <c r="G200" t="s">
        <v>20</v>
      </c>
      <c r="H200">
        <f t="shared" si="26"/>
        <v>1</v>
      </c>
      <c r="I200" t="s">
        <v>19</v>
      </c>
      <c r="J200">
        <f t="shared" si="27"/>
        <v>0</v>
      </c>
      <c r="K200">
        <v>3416</v>
      </c>
      <c r="L200">
        <v>2816</v>
      </c>
      <c r="M200">
        <v>113000</v>
      </c>
      <c r="N200">
        <v>360</v>
      </c>
      <c r="O200">
        <v>1</v>
      </c>
      <c r="P200" t="s">
        <v>35</v>
      </c>
      <c r="Q200">
        <f t="shared" si="28"/>
        <v>0</v>
      </c>
      <c r="R200">
        <f t="shared" si="29"/>
        <v>1</v>
      </c>
      <c r="S200">
        <f t="shared" si="30"/>
        <v>0</v>
      </c>
      <c r="T200" t="s">
        <v>22</v>
      </c>
      <c r="U200">
        <f t="shared" si="31"/>
        <v>1</v>
      </c>
      <c r="V200">
        <v>8.136518252115291</v>
      </c>
      <c r="W200">
        <v>7.9434277678763729</v>
      </c>
      <c r="X200">
        <v>11.635143097694478</v>
      </c>
      <c r="Y200" t="s">
        <v>23</v>
      </c>
    </row>
    <row r="201" spans="1:25" x14ac:dyDescent="0.3">
      <c r="A201" t="s">
        <v>230</v>
      </c>
      <c r="B201" t="s">
        <v>18</v>
      </c>
      <c r="C201">
        <f t="shared" si="24"/>
        <v>1</v>
      </c>
      <c r="D201" t="s">
        <v>19</v>
      </c>
      <c r="E201">
        <f t="shared" si="25"/>
        <v>0</v>
      </c>
      <c r="F201">
        <v>0</v>
      </c>
      <c r="G201" t="s">
        <v>20</v>
      </c>
      <c r="H201">
        <f t="shared" si="26"/>
        <v>1</v>
      </c>
      <c r="I201" t="s">
        <v>25</v>
      </c>
      <c r="J201">
        <f t="shared" si="27"/>
        <v>1</v>
      </c>
      <c r="K201">
        <v>11000</v>
      </c>
      <c r="L201">
        <v>0</v>
      </c>
      <c r="M201">
        <v>83000</v>
      </c>
      <c r="N201">
        <v>360</v>
      </c>
      <c r="O201">
        <v>1</v>
      </c>
      <c r="P201" t="s">
        <v>21</v>
      </c>
      <c r="Q201">
        <f t="shared" si="28"/>
        <v>1</v>
      </c>
      <c r="R201">
        <f t="shared" si="29"/>
        <v>0</v>
      </c>
      <c r="S201">
        <f t="shared" si="30"/>
        <v>0</v>
      </c>
      <c r="T201" t="s">
        <v>27</v>
      </c>
      <c r="U201">
        <f t="shared" si="31"/>
        <v>0</v>
      </c>
      <c r="V201">
        <v>9.305741456739435</v>
      </c>
      <c r="W201">
        <v>0</v>
      </c>
      <c r="X201">
        <v>11.326595886778735</v>
      </c>
      <c r="Y201" t="s">
        <v>23</v>
      </c>
    </row>
    <row r="202" spans="1:25" x14ac:dyDescent="0.3">
      <c r="A202" t="s">
        <v>231</v>
      </c>
      <c r="B202" t="s">
        <v>18</v>
      </c>
      <c r="C202">
        <f t="shared" si="24"/>
        <v>1</v>
      </c>
      <c r="D202" t="s">
        <v>25</v>
      </c>
      <c r="E202">
        <f t="shared" si="25"/>
        <v>1</v>
      </c>
      <c r="F202">
        <v>1</v>
      </c>
      <c r="G202" t="s">
        <v>30</v>
      </c>
      <c r="H202">
        <f t="shared" si="26"/>
        <v>0</v>
      </c>
      <c r="I202" t="s">
        <v>19</v>
      </c>
      <c r="J202">
        <f t="shared" si="27"/>
        <v>0</v>
      </c>
      <c r="K202">
        <v>2600</v>
      </c>
      <c r="L202">
        <v>2500</v>
      </c>
      <c r="M202">
        <v>90000</v>
      </c>
      <c r="N202">
        <v>360</v>
      </c>
      <c r="O202">
        <v>1</v>
      </c>
      <c r="P202" t="s">
        <v>35</v>
      </c>
      <c r="Q202">
        <f t="shared" si="28"/>
        <v>0</v>
      </c>
      <c r="R202">
        <f t="shared" si="29"/>
        <v>1</v>
      </c>
      <c r="S202">
        <f t="shared" si="30"/>
        <v>0</v>
      </c>
      <c r="T202" t="s">
        <v>22</v>
      </c>
      <c r="U202">
        <f t="shared" si="31"/>
        <v>1</v>
      </c>
      <c r="V202">
        <v>7.8636512654486506</v>
      </c>
      <c r="W202">
        <v>7.8244459308776193</v>
      </c>
      <c r="X202">
        <v>11.407564949312402</v>
      </c>
      <c r="Y202" t="s">
        <v>23</v>
      </c>
    </row>
    <row r="203" spans="1:25" x14ac:dyDescent="0.3">
      <c r="A203" t="s">
        <v>232</v>
      </c>
      <c r="B203" t="s">
        <v>18</v>
      </c>
      <c r="C203">
        <f t="shared" si="24"/>
        <v>1</v>
      </c>
      <c r="D203" t="s">
        <v>19</v>
      </c>
      <c r="E203">
        <f t="shared" si="25"/>
        <v>0</v>
      </c>
      <c r="F203">
        <v>2</v>
      </c>
      <c r="G203" t="s">
        <v>20</v>
      </c>
      <c r="H203">
        <f t="shared" si="26"/>
        <v>1</v>
      </c>
      <c r="I203" t="s">
        <v>19</v>
      </c>
      <c r="J203">
        <f t="shared" si="27"/>
        <v>0</v>
      </c>
      <c r="K203">
        <v>4923</v>
      </c>
      <c r="L203">
        <v>0</v>
      </c>
      <c r="M203">
        <v>166000</v>
      </c>
      <c r="N203">
        <v>360</v>
      </c>
      <c r="O203">
        <v>0</v>
      </c>
      <c r="P203" t="s">
        <v>35</v>
      </c>
      <c r="Q203">
        <f t="shared" si="28"/>
        <v>0</v>
      </c>
      <c r="R203">
        <f t="shared" si="29"/>
        <v>1</v>
      </c>
      <c r="S203">
        <f t="shared" si="30"/>
        <v>0</v>
      </c>
      <c r="T203" t="s">
        <v>22</v>
      </c>
      <c r="U203">
        <f t="shared" si="31"/>
        <v>1</v>
      </c>
      <c r="V203">
        <v>8.5018764873043438</v>
      </c>
      <c r="W203">
        <v>0</v>
      </c>
      <c r="X203">
        <v>12.01974306733868</v>
      </c>
      <c r="Y203" t="s">
        <v>23</v>
      </c>
    </row>
    <row r="204" spans="1:25" x14ac:dyDescent="0.3">
      <c r="A204" t="s">
        <v>233</v>
      </c>
      <c r="B204" t="s">
        <v>18</v>
      </c>
      <c r="C204">
        <f t="shared" si="24"/>
        <v>1</v>
      </c>
      <c r="D204" t="s">
        <v>25</v>
      </c>
      <c r="E204">
        <f t="shared" si="25"/>
        <v>1</v>
      </c>
      <c r="F204">
        <v>3</v>
      </c>
      <c r="G204" t="s">
        <v>30</v>
      </c>
      <c r="H204">
        <f t="shared" si="26"/>
        <v>0</v>
      </c>
      <c r="I204" t="s">
        <v>19</v>
      </c>
      <c r="J204">
        <f t="shared" si="27"/>
        <v>0</v>
      </c>
      <c r="K204">
        <v>3992</v>
      </c>
      <c r="L204">
        <v>0</v>
      </c>
      <c r="M204">
        <v>128000</v>
      </c>
      <c r="N204">
        <v>180</v>
      </c>
      <c r="O204">
        <v>1</v>
      </c>
      <c r="P204" t="s">
        <v>21</v>
      </c>
      <c r="Q204">
        <f t="shared" si="28"/>
        <v>1</v>
      </c>
      <c r="R204">
        <f t="shared" si="29"/>
        <v>0</v>
      </c>
      <c r="S204">
        <f t="shared" si="30"/>
        <v>0</v>
      </c>
      <c r="T204" t="s">
        <v>27</v>
      </c>
      <c r="U204">
        <f t="shared" si="31"/>
        <v>0</v>
      </c>
      <c r="V204">
        <v>8.2922981070632211</v>
      </c>
      <c r="W204">
        <v>0</v>
      </c>
      <c r="X204">
        <v>11.759785542901755</v>
      </c>
      <c r="Y204" t="s">
        <v>46</v>
      </c>
    </row>
    <row r="205" spans="1:25" x14ac:dyDescent="0.3">
      <c r="A205" t="s">
        <v>234</v>
      </c>
      <c r="B205" t="s">
        <v>18</v>
      </c>
      <c r="C205">
        <f t="shared" si="24"/>
        <v>1</v>
      </c>
      <c r="D205" t="s">
        <v>25</v>
      </c>
      <c r="E205">
        <f t="shared" si="25"/>
        <v>1</v>
      </c>
      <c r="F205">
        <v>1</v>
      </c>
      <c r="G205" t="s">
        <v>30</v>
      </c>
      <c r="H205">
        <f t="shared" si="26"/>
        <v>0</v>
      </c>
      <c r="I205" t="s">
        <v>19</v>
      </c>
      <c r="J205">
        <f t="shared" si="27"/>
        <v>0</v>
      </c>
      <c r="K205">
        <v>3500</v>
      </c>
      <c r="L205">
        <v>1083</v>
      </c>
      <c r="M205">
        <v>135000</v>
      </c>
      <c r="N205">
        <v>360</v>
      </c>
      <c r="O205">
        <v>1</v>
      </c>
      <c r="P205" t="s">
        <v>21</v>
      </c>
      <c r="Q205">
        <f t="shared" si="28"/>
        <v>1</v>
      </c>
      <c r="R205">
        <f t="shared" si="29"/>
        <v>0</v>
      </c>
      <c r="S205">
        <f t="shared" si="30"/>
        <v>0</v>
      </c>
      <c r="T205" t="s">
        <v>22</v>
      </c>
      <c r="U205">
        <f t="shared" si="31"/>
        <v>1</v>
      </c>
      <c r="V205">
        <v>8.160803920954665</v>
      </c>
      <c r="W205">
        <v>6.9884131819995918</v>
      </c>
      <c r="X205">
        <v>11.813030057420567</v>
      </c>
      <c r="Y205" t="s">
        <v>23</v>
      </c>
    </row>
    <row r="206" spans="1:25" x14ac:dyDescent="0.3">
      <c r="A206" t="s">
        <v>235</v>
      </c>
      <c r="B206" t="s">
        <v>18</v>
      </c>
      <c r="C206">
        <f t="shared" si="24"/>
        <v>1</v>
      </c>
      <c r="D206" t="s">
        <v>25</v>
      </c>
      <c r="E206">
        <f t="shared" si="25"/>
        <v>1</v>
      </c>
      <c r="F206">
        <v>2</v>
      </c>
      <c r="G206" t="s">
        <v>30</v>
      </c>
      <c r="H206">
        <f t="shared" si="26"/>
        <v>0</v>
      </c>
      <c r="I206" t="s">
        <v>19</v>
      </c>
      <c r="J206">
        <f t="shared" si="27"/>
        <v>0</v>
      </c>
      <c r="K206">
        <v>3917</v>
      </c>
      <c r="L206">
        <v>0</v>
      </c>
      <c r="M206">
        <v>124000</v>
      </c>
      <c r="N206">
        <v>360</v>
      </c>
      <c r="O206">
        <v>1</v>
      </c>
      <c r="P206" t="s">
        <v>35</v>
      </c>
      <c r="Q206">
        <f t="shared" si="28"/>
        <v>0</v>
      </c>
      <c r="R206">
        <f t="shared" si="29"/>
        <v>1</v>
      </c>
      <c r="S206">
        <f t="shared" si="30"/>
        <v>0</v>
      </c>
      <c r="T206" t="s">
        <v>22</v>
      </c>
      <c r="U206">
        <f t="shared" si="31"/>
        <v>1</v>
      </c>
      <c r="V206">
        <v>8.2733365985044856</v>
      </c>
      <c r="W206">
        <v>0</v>
      </c>
      <c r="X206">
        <v>11.728036844587175</v>
      </c>
      <c r="Y206" t="s">
        <v>23</v>
      </c>
    </row>
    <row r="207" spans="1:25" x14ac:dyDescent="0.3">
      <c r="A207" t="s">
        <v>236</v>
      </c>
      <c r="B207" t="s">
        <v>48</v>
      </c>
      <c r="C207">
        <f t="shared" si="24"/>
        <v>0</v>
      </c>
      <c r="D207" t="s">
        <v>19</v>
      </c>
      <c r="E207">
        <f t="shared" si="25"/>
        <v>0</v>
      </c>
      <c r="F207">
        <v>0</v>
      </c>
      <c r="G207" t="s">
        <v>30</v>
      </c>
      <c r="H207">
        <f t="shared" si="26"/>
        <v>0</v>
      </c>
      <c r="I207" t="s">
        <v>19</v>
      </c>
      <c r="J207">
        <f t="shared" si="27"/>
        <v>0</v>
      </c>
      <c r="K207">
        <v>4408</v>
      </c>
      <c r="L207">
        <v>0</v>
      </c>
      <c r="M207">
        <v>120000</v>
      </c>
      <c r="N207">
        <v>360</v>
      </c>
      <c r="O207">
        <v>1</v>
      </c>
      <c r="P207" t="s">
        <v>35</v>
      </c>
      <c r="Q207">
        <f t="shared" si="28"/>
        <v>0</v>
      </c>
      <c r="R207">
        <f t="shared" si="29"/>
        <v>1</v>
      </c>
      <c r="S207">
        <f t="shared" si="30"/>
        <v>0</v>
      </c>
      <c r="T207" t="s">
        <v>22</v>
      </c>
      <c r="U207">
        <f t="shared" si="31"/>
        <v>1</v>
      </c>
      <c r="V207">
        <v>8.3914031853579374</v>
      </c>
      <c r="W207">
        <v>0</v>
      </c>
      <c r="X207">
        <v>11.695247021764184</v>
      </c>
      <c r="Y207" t="s">
        <v>23</v>
      </c>
    </row>
    <row r="208" spans="1:25" x14ac:dyDescent="0.3">
      <c r="A208" t="s">
        <v>237</v>
      </c>
      <c r="B208" t="s">
        <v>48</v>
      </c>
      <c r="C208">
        <f t="shared" si="24"/>
        <v>0</v>
      </c>
      <c r="D208" t="s">
        <v>19</v>
      </c>
      <c r="E208">
        <f t="shared" si="25"/>
        <v>0</v>
      </c>
      <c r="F208">
        <v>0</v>
      </c>
      <c r="G208" t="s">
        <v>20</v>
      </c>
      <c r="H208">
        <f t="shared" si="26"/>
        <v>1</v>
      </c>
      <c r="I208" t="s">
        <v>19</v>
      </c>
      <c r="J208">
        <f t="shared" si="27"/>
        <v>0</v>
      </c>
      <c r="K208">
        <v>3244</v>
      </c>
      <c r="L208">
        <v>0</v>
      </c>
      <c r="M208">
        <v>80000</v>
      </c>
      <c r="N208">
        <v>360</v>
      </c>
      <c r="O208">
        <v>1</v>
      </c>
      <c r="P208" t="s">
        <v>21</v>
      </c>
      <c r="Q208">
        <f t="shared" si="28"/>
        <v>1</v>
      </c>
      <c r="R208">
        <f t="shared" si="29"/>
        <v>0</v>
      </c>
      <c r="S208">
        <f t="shared" si="30"/>
        <v>0</v>
      </c>
      <c r="T208" t="s">
        <v>22</v>
      </c>
      <c r="U208">
        <f t="shared" si="31"/>
        <v>1</v>
      </c>
      <c r="V208">
        <v>8.0848706291381909</v>
      </c>
      <c r="W208">
        <v>0</v>
      </c>
      <c r="X208">
        <v>11.289781913656018</v>
      </c>
      <c r="Y208" t="s">
        <v>23</v>
      </c>
    </row>
    <row r="209" spans="1:25" x14ac:dyDescent="0.3">
      <c r="A209" t="s">
        <v>238</v>
      </c>
      <c r="B209" t="s">
        <v>18</v>
      </c>
      <c r="C209">
        <f t="shared" si="24"/>
        <v>1</v>
      </c>
      <c r="D209" t="s">
        <v>19</v>
      </c>
      <c r="E209">
        <f t="shared" si="25"/>
        <v>0</v>
      </c>
      <c r="F209">
        <v>0</v>
      </c>
      <c r="G209" t="s">
        <v>30</v>
      </c>
      <c r="H209">
        <f t="shared" si="26"/>
        <v>0</v>
      </c>
      <c r="I209" t="s">
        <v>19</v>
      </c>
      <c r="J209">
        <f t="shared" si="27"/>
        <v>0</v>
      </c>
      <c r="K209">
        <v>3975</v>
      </c>
      <c r="L209">
        <v>2531</v>
      </c>
      <c r="M209">
        <v>55000</v>
      </c>
      <c r="N209">
        <v>360</v>
      </c>
      <c r="O209">
        <v>1</v>
      </c>
      <c r="P209" t="s">
        <v>26</v>
      </c>
      <c r="Q209">
        <f t="shared" si="28"/>
        <v>0</v>
      </c>
      <c r="R209">
        <f t="shared" si="29"/>
        <v>0</v>
      </c>
      <c r="S209">
        <f t="shared" si="30"/>
        <v>1</v>
      </c>
      <c r="T209" t="s">
        <v>22</v>
      </c>
      <c r="U209">
        <f t="shared" si="31"/>
        <v>1</v>
      </c>
      <c r="V209">
        <v>8.2880315677764642</v>
      </c>
      <c r="W209">
        <v>7.8367647832640666</v>
      </c>
      <c r="X209">
        <v>10.915088464214607</v>
      </c>
      <c r="Y209" t="s">
        <v>23</v>
      </c>
    </row>
    <row r="210" spans="1:25" x14ac:dyDescent="0.3">
      <c r="A210" t="s">
        <v>239</v>
      </c>
      <c r="B210" t="s">
        <v>18</v>
      </c>
      <c r="C210">
        <f t="shared" si="24"/>
        <v>1</v>
      </c>
      <c r="D210" t="s">
        <v>19</v>
      </c>
      <c r="E210">
        <f t="shared" si="25"/>
        <v>0</v>
      </c>
      <c r="F210">
        <v>0</v>
      </c>
      <c r="G210" t="s">
        <v>20</v>
      </c>
      <c r="H210">
        <f t="shared" si="26"/>
        <v>1</v>
      </c>
      <c r="I210" t="s">
        <v>19</v>
      </c>
      <c r="J210">
        <f t="shared" si="27"/>
        <v>0</v>
      </c>
      <c r="K210">
        <v>2479</v>
      </c>
      <c r="L210">
        <v>0</v>
      </c>
      <c r="M210">
        <v>59000</v>
      </c>
      <c r="N210">
        <v>360</v>
      </c>
      <c r="O210">
        <v>1</v>
      </c>
      <c r="P210" t="s">
        <v>21</v>
      </c>
      <c r="Q210">
        <f t="shared" si="28"/>
        <v>1</v>
      </c>
      <c r="R210">
        <f t="shared" si="29"/>
        <v>0</v>
      </c>
      <c r="S210">
        <f t="shared" si="30"/>
        <v>0</v>
      </c>
      <c r="T210" t="s">
        <v>22</v>
      </c>
      <c r="U210">
        <f t="shared" si="31"/>
        <v>1</v>
      </c>
      <c r="V210">
        <v>7.8160138391590266</v>
      </c>
      <c r="W210">
        <v>0</v>
      </c>
      <c r="X210">
        <v>10.985292722887856</v>
      </c>
      <c r="Y210" t="s">
        <v>23</v>
      </c>
    </row>
    <row r="211" spans="1:25" x14ac:dyDescent="0.3">
      <c r="A211" t="s">
        <v>240</v>
      </c>
      <c r="B211" t="s">
        <v>18</v>
      </c>
      <c r="C211">
        <f t="shared" si="24"/>
        <v>1</v>
      </c>
      <c r="D211" t="s">
        <v>19</v>
      </c>
      <c r="E211">
        <f t="shared" si="25"/>
        <v>0</v>
      </c>
      <c r="F211">
        <v>0</v>
      </c>
      <c r="G211" t="s">
        <v>20</v>
      </c>
      <c r="H211">
        <f t="shared" si="26"/>
        <v>1</v>
      </c>
      <c r="I211" t="s">
        <v>19</v>
      </c>
      <c r="J211">
        <f t="shared" si="27"/>
        <v>0</v>
      </c>
      <c r="K211">
        <v>3418</v>
      </c>
      <c r="L211">
        <v>0</v>
      </c>
      <c r="M211">
        <v>127000</v>
      </c>
      <c r="N211">
        <v>360</v>
      </c>
      <c r="O211">
        <v>1</v>
      </c>
      <c r="P211" t="s">
        <v>35</v>
      </c>
      <c r="Q211">
        <f t="shared" si="28"/>
        <v>0</v>
      </c>
      <c r="R211">
        <f t="shared" si="29"/>
        <v>1</v>
      </c>
      <c r="S211">
        <f t="shared" si="30"/>
        <v>0</v>
      </c>
      <c r="T211" t="s">
        <v>27</v>
      </c>
      <c r="U211">
        <f t="shared" si="31"/>
        <v>0</v>
      </c>
      <c r="V211">
        <v>8.1371033896393019</v>
      </c>
      <c r="W211">
        <v>0</v>
      </c>
      <c r="X211">
        <v>11.751942365440728</v>
      </c>
      <c r="Y211" t="s">
        <v>23</v>
      </c>
    </row>
    <row r="212" spans="1:25" x14ac:dyDescent="0.3">
      <c r="A212" t="s">
        <v>241</v>
      </c>
      <c r="B212" t="s">
        <v>48</v>
      </c>
      <c r="C212">
        <f t="shared" si="24"/>
        <v>0</v>
      </c>
      <c r="D212" t="s">
        <v>19</v>
      </c>
      <c r="E212">
        <f t="shared" si="25"/>
        <v>0</v>
      </c>
      <c r="F212">
        <v>0</v>
      </c>
      <c r="G212" t="s">
        <v>20</v>
      </c>
      <c r="H212">
        <f t="shared" si="26"/>
        <v>1</v>
      </c>
      <c r="I212" t="s">
        <v>19</v>
      </c>
      <c r="J212">
        <f t="shared" si="27"/>
        <v>0</v>
      </c>
      <c r="K212">
        <v>10000</v>
      </c>
      <c r="L212">
        <v>0</v>
      </c>
      <c r="M212">
        <v>214000</v>
      </c>
      <c r="N212">
        <v>360</v>
      </c>
      <c r="O212">
        <v>1</v>
      </c>
      <c r="P212" t="s">
        <v>35</v>
      </c>
      <c r="Q212">
        <f t="shared" si="28"/>
        <v>0</v>
      </c>
      <c r="R212">
        <f t="shared" si="29"/>
        <v>1</v>
      </c>
      <c r="S212">
        <f t="shared" si="30"/>
        <v>0</v>
      </c>
      <c r="T212" t="s">
        <v>27</v>
      </c>
      <c r="U212">
        <f t="shared" si="31"/>
        <v>0</v>
      </c>
      <c r="V212">
        <v>9.2104403669765169</v>
      </c>
      <c r="W212">
        <v>0</v>
      </c>
      <c r="X212">
        <v>12.273731294003989</v>
      </c>
      <c r="Y212" t="s">
        <v>23</v>
      </c>
    </row>
    <row r="213" spans="1:25" x14ac:dyDescent="0.3">
      <c r="A213" t="s">
        <v>242</v>
      </c>
      <c r="B213" t="s">
        <v>18</v>
      </c>
      <c r="C213">
        <f t="shared" si="24"/>
        <v>1</v>
      </c>
      <c r="D213" t="s">
        <v>25</v>
      </c>
      <c r="E213">
        <f t="shared" si="25"/>
        <v>1</v>
      </c>
      <c r="F213">
        <v>3</v>
      </c>
      <c r="G213" t="s">
        <v>20</v>
      </c>
      <c r="H213">
        <f t="shared" si="26"/>
        <v>1</v>
      </c>
      <c r="I213" t="s">
        <v>19</v>
      </c>
      <c r="J213">
        <f t="shared" si="27"/>
        <v>0</v>
      </c>
      <c r="K213">
        <v>3430</v>
      </c>
      <c r="L213">
        <v>1250</v>
      </c>
      <c r="M213">
        <v>128000</v>
      </c>
      <c r="N213">
        <v>360</v>
      </c>
      <c r="O213">
        <v>0</v>
      </c>
      <c r="P213" t="s">
        <v>35</v>
      </c>
      <c r="Q213">
        <f t="shared" si="28"/>
        <v>0</v>
      </c>
      <c r="R213">
        <f t="shared" si="29"/>
        <v>1</v>
      </c>
      <c r="S213">
        <f t="shared" si="30"/>
        <v>0</v>
      </c>
      <c r="T213" t="s">
        <v>27</v>
      </c>
      <c r="U213">
        <f t="shared" si="31"/>
        <v>0</v>
      </c>
      <c r="V213">
        <v>8.1406070428584503</v>
      </c>
      <c r="W213">
        <v>7.1316985104669124</v>
      </c>
      <c r="X213">
        <v>11.759785542901755</v>
      </c>
      <c r="Y213" t="s">
        <v>23</v>
      </c>
    </row>
    <row r="214" spans="1:25" x14ac:dyDescent="0.3">
      <c r="A214" t="s">
        <v>243</v>
      </c>
      <c r="B214" t="s">
        <v>18</v>
      </c>
      <c r="C214">
        <f t="shared" si="24"/>
        <v>1</v>
      </c>
      <c r="D214" t="s">
        <v>25</v>
      </c>
      <c r="E214">
        <f t="shared" si="25"/>
        <v>1</v>
      </c>
      <c r="F214">
        <v>1</v>
      </c>
      <c r="G214" t="s">
        <v>20</v>
      </c>
      <c r="H214">
        <f t="shared" si="26"/>
        <v>1</v>
      </c>
      <c r="I214" t="s">
        <v>25</v>
      </c>
      <c r="J214">
        <f t="shared" si="27"/>
        <v>1</v>
      </c>
      <c r="K214">
        <v>7787</v>
      </c>
      <c r="L214">
        <v>0</v>
      </c>
      <c r="M214">
        <v>240000</v>
      </c>
      <c r="N214">
        <v>360</v>
      </c>
      <c r="O214">
        <v>1</v>
      </c>
      <c r="P214" t="s">
        <v>21</v>
      </c>
      <c r="Q214">
        <f t="shared" si="28"/>
        <v>1</v>
      </c>
      <c r="R214">
        <f t="shared" si="29"/>
        <v>0</v>
      </c>
      <c r="S214">
        <f t="shared" si="30"/>
        <v>0</v>
      </c>
      <c r="T214" t="s">
        <v>22</v>
      </c>
      <c r="U214">
        <f t="shared" si="31"/>
        <v>1</v>
      </c>
      <c r="V214">
        <v>8.9603393664920912</v>
      </c>
      <c r="W214">
        <v>0</v>
      </c>
      <c r="X214">
        <v>12.388394202324129</v>
      </c>
      <c r="Y214" t="s">
        <v>23</v>
      </c>
    </row>
    <row r="215" spans="1:25" x14ac:dyDescent="0.3">
      <c r="A215" t="s">
        <v>244</v>
      </c>
      <c r="B215" t="s">
        <v>18</v>
      </c>
      <c r="C215">
        <f t="shared" si="24"/>
        <v>1</v>
      </c>
      <c r="D215" t="s">
        <v>25</v>
      </c>
      <c r="E215">
        <f t="shared" si="25"/>
        <v>1</v>
      </c>
      <c r="F215">
        <v>3</v>
      </c>
      <c r="G215" t="s">
        <v>30</v>
      </c>
      <c r="H215">
        <f t="shared" si="26"/>
        <v>0</v>
      </c>
      <c r="I215" t="s">
        <v>25</v>
      </c>
      <c r="J215">
        <f t="shared" si="27"/>
        <v>1</v>
      </c>
      <c r="K215">
        <v>5703</v>
      </c>
      <c r="L215">
        <v>0</v>
      </c>
      <c r="M215">
        <v>130000</v>
      </c>
      <c r="N215">
        <v>360</v>
      </c>
      <c r="O215">
        <v>1</v>
      </c>
      <c r="P215" t="s">
        <v>26</v>
      </c>
      <c r="Q215">
        <f t="shared" si="28"/>
        <v>0</v>
      </c>
      <c r="R215">
        <f t="shared" si="29"/>
        <v>0</v>
      </c>
      <c r="S215">
        <f t="shared" si="30"/>
        <v>1</v>
      </c>
      <c r="T215" t="s">
        <v>22</v>
      </c>
      <c r="U215">
        <f t="shared" si="31"/>
        <v>1</v>
      </c>
      <c r="V215">
        <v>8.6489229620941313</v>
      </c>
      <c r="W215">
        <v>0</v>
      </c>
      <c r="X215">
        <v>11.77528972943772</v>
      </c>
      <c r="Y215" t="s">
        <v>23</v>
      </c>
    </row>
    <row r="216" spans="1:25" x14ac:dyDescent="0.3">
      <c r="A216" t="s">
        <v>245</v>
      </c>
      <c r="B216" t="s">
        <v>18</v>
      </c>
      <c r="C216">
        <f t="shared" si="24"/>
        <v>1</v>
      </c>
      <c r="D216" t="s">
        <v>25</v>
      </c>
      <c r="E216">
        <f t="shared" si="25"/>
        <v>1</v>
      </c>
      <c r="F216">
        <v>0</v>
      </c>
      <c r="G216" t="s">
        <v>20</v>
      </c>
      <c r="H216">
        <f t="shared" si="26"/>
        <v>1</v>
      </c>
      <c r="I216" t="s">
        <v>19</v>
      </c>
      <c r="J216">
        <f t="shared" si="27"/>
        <v>0</v>
      </c>
      <c r="K216">
        <v>3173</v>
      </c>
      <c r="L216">
        <v>3021</v>
      </c>
      <c r="M216">
        <v>137000</v>
      </c>
      <c r="N216">
        <v>360</v>
      </c>
      <c r="O216">
        <v>1</v>
      </c>
      <c r="P216" t="s">
        <v>21</v>
      </c>
      <c r="Q216">
        <f t="shared" si="28"/>
        <v>1</v>
      </c>
      <c r="R216">
        <f t="shared" si="29"/>
        <v>0</v>
      </c>
      <c r="S216">
        <f t="shared" si="30"/>
        <v>0</v>
      </c>
      <c r="T216" t="s">
        <v>22</v>
      </c>
      <c r="U216">
        <f t="shared" si="31"/>
        <v>1</v>
      </c>
      <c r="V216">
        <v>8.0627479010863539</v>
      </c>
      <c r="W216">
        <v>8.0136741428326843</v>
      </c>
      <c r="X216">
        <v>11.827736204810263</v>
      </c>
      <c r="Y216" t="s">
        <v>23</v>
      </c>
    </row>
    <row r="217" spans="1:25" x14ac:dyDescent="0.3">
      <c r="A217" t="s">
        <v>246</v>
      </c>
      <c r="B217" t="s">
        <v>18</v>
      </c>
      <c r="C217">
        <f t="shared" si="24"/>
        <v>1</v>
      </c>
      <c r="D217" t="s">
        <v>25</v>
      </c>
      <c r="E217">
        <f t="shared" si="25"/>
        <v>1</v>
      </c>
      <c r="F217">
        <v>3</v>
      </c>
      <c r="G217" t="s">
        <v>30</v>
      </c>
      <c r="H217">
        <f t="shared" si="26"/>
        <v>0</v>
      </c>
      <c r="I217" t="s">
        <v>19</v>
      </c>
      <c r="J217">
        <f t="shared" si="27"/>
        <v>0</v>
      </c>
      <c r="K217">
        <v>3850</v>
      </c>
      <c r="L217">
        <v>983</v>
      </c>
      <c r="M217">
        <v>100000</v>
      </c>
      <c r="N217">
        <v>360</v>
      </c>
      <c r="O217">
        <v>1</v>
      </c>
      <c r="P217" t="s">
        <v>35</v>
      </c>
      <c r="Q217">
        <f t="shared" si="28"/>
        <v>0</v>
      </c>
      <c r="R217">
        <f t="shared" si="29"/>
        <v>1</v>
      </c>
      <c r="S217">
        <f t="shared" si="30"/>
        <v>0</v>
      </c>
      <c r="T217" t="s">
        <v>22</v>
      </c>
      <c r="U217">
        <f t="shared" si="31"/>
        <v>1</v>
      </c>
      <c r="V217">
        <v>8.2560881338149095</v>
      </c>
      <c r="W217">
        <v>6.8916258970522533</v>
      </c>
      <c r="X217">
        <v>11.512925464970229</v>
      </c>
      <c r="Y217" t="s">
        <v>23</v>
      </c>
    </row>
    <row r="218" spans="1:25" x14ac:dyDescent="0.3">
      <c r="A218" t="s">
        <v>247</v>
      </c>
      <c r="B218" t="s">
        <v>18</v>
      </c>
      <c r="C218">
        <f t="shared" si="24"/>
        <v>1</v>
      </c>
      <c r="D218" t="s">
        <v>25</v>
      </c>
      <c r="E218">
        <f t="shared" si="25"/>
        <v>1</v>
      </c>
      <c r="F218">
        <v>0</v>
      </c>
      <c r="G218" t="s">
        <v>20</v>
      </c>
      <c r="H218">
        <f t="shared" si="26"/>
        <v>1</v>
      </c>
      <c r="I218" t="s">
        <v>19</v>
      </c>
      <c r="J218">
        <f t="shared" si="27"/>
        <v>0</v>
      </c>
      <c r="K218">
        <v>150</v>
      </c>
      <c r="L218">
        <v>1800</v>
      </c>
      <c r="M218">
        <v>135000</v>
      </c>
      <c r="N218">
        <v>360</v>
      </c>
      <c r="O218">
        <v>1</v>
      </c>
      <c r="P218" t="s">
        <v>26</v>
      </c>
      <c r="Q218">
        <f t="shared" si="28"/>
        <v>0</v>
      </c>
      <c r="R218">
        <f t="shared" si="29"/>
        <v>0</v>
      </c>
      <c r="S218">
        <f t="shared" si="30"/>
        <v>1</v>
      </c>
      <c r="T218" t="s">
        <v>27</v>
      </c>
      <c r="U218">
        <f t="shared" si="31"/>
        <v>0</v>
      </c>
      <c r="V218">
        <v>5.0172798368149243</v>
      </c>
      <c r="W218">
        <v>7.4960973451759561</v>
      </c>
      <c r="X218">
        <v>11.813030057420567</v>
      </c>
      <c r="Y218" t="s">
        <v>23</v>
      </c>
    </row>
    <row r="219" spans="1:25" x14ac:dyDescent="0.3">
      <c r="A219" t="s">
        <v>248</v>
      </c>
      <c r="B219" t="s">
        <v>18</v>
      </c>
      <c r="C219">
        <f t="shared" si="24"/>
        <v>1</v>
      </c>
      <c r="D219" t="s">
        <v>25</v>
      </c>
      <c r="E219">
        <f t="shared" si="25"/>
        <v>1</v>
      </c>
      <c r="F219">
        <v>0</v>
      </c>
      <c r="G219" t="s">
        <v>20</v>
      </c>
      <c r="H219">
        <f t="shared" si="26"/>
        <v>1</v>
      </c>
      <c r="I219" t="s">
        <v>19</v>
      </c>
      <c r="J219">
        <f t="shared" si="27"/>
        <v>0</v>
      </c>
      <c r="K219">
        <v>3727</v>
      </c>
      <c r="L219">
        <v>1775</v>
      </c>
      <c r="M219">
        <v>131000</v>
      </c>
      <c r="N219">
        <v>360</v>
      </c>
      <c r="O219">
        <v>1</v>
      </c>
      <c r="P219" t="s">
        <v>35</v>
      </c>
      <c r="Q219">
        <f t="shared" si="28"/>
        <v>0</v>
      </c>
      <c r="R219">
        <f t="shared" si="29"/>
        <v>1</v>
      </c>
      <c r="S219">
        <f t="shared" si="30"/>
        <v>0</v>
      </c>
      <c r="T219" t="s">
        <v>22</v>
      </c>
      <c r="U219">
        <f t="shared" si="31"/>
        <v>1</v>
      </c>
      <c r="V219">
        <v>8.2236271758054826</v>
      </c>
      <c r="W219">
        <v>7.4821189235521146</v>
      </c>
      <c r="X219">
        <v>11.782952602183288</v>
      </c>
      <c r="Y219" t="s">
        <v>23</v>
      </c>
    </row>
    <row r="220" spans="1:25" x14ac:dyDescent="0.3">
      <c r="A220" t="s">
        <v>249</v>
      </c>
      <c r="B220" t="s">
        <v>18</v>
      </c>
      <c r="C220">
        <f t="shared" si="24"/>
        <v>1</v>
      </c>
      <c r="D220" t="s">
        <v>25</v>
      </c>
      <c r="E220">
        <f t="shared" si="25"/>
        <v>1</v>
      </c>
      <c r="F220">
        <v>2</v>
      </c>
      <c r="G220" t="s">
        <v>20</v>
      </c>
      <c r="H220">
        <f t="shared" si="26"/>
        <v>1</v>
      </c>
      <c r="I220" t="s">
        <v>19</v>
      </c>
      <c r="J220">
        <f t="shared" si="27"/>
        <v>0</v>
      </c>
      <c r="K220">
        <v>5000</v>
      </c>
      <c r="L220">
        <v>0</v>
      </c>
      <c r="M220">
        <v>72000</v>
      </c>
      <c r="N220">
        <v>360</v>
      </c>
      <c r="O220">
        <v>0</v>
      </c>
      <c r="P220" t="s">
        <v>35</v>
      </c>
      <c r="Q220">
        <f t="shared" si="28"/>
        <v>0</v>
      </c>
      <c r="R220">
        <f t="shared" si="29"/>
        <v>1</v>
      </c>
      <c r="S220">
        <f t="shared" si="30"/>
        <v>0</v>
      </c>
      <c r="T220" t="s">
        <v>27</v>
      </c>
      <c r="U220">
        <f t="shared" si="31"/>
        <v>0</v>
      </c>
      <c r="V220">
        <v>8.5173931714189042</v>
      </c>
      <c r="W220">
        <v>0</v>
      </c>
      <c r="X220">
        <v>11.184421397998193</v>
      </c>
      <c r="Y220" t="s">
        <v>23</v>
      </c>
    </row>
    <row r="221" spans="1:25" x14ac:dyDescent="0.3">
      <c r="A221" t="s">
        <v>250</v>
      </c>
      <c r="B221" t="s">
        <v>48</v>
      </c>
      <c r="C221">
        <f t="shared" si="24"/>
        <v>0</v>
      </c>
      <c r="D221" t="s">
        <v>25</v>
      </c>
      <c r="E221">
        <f t="shared" si="25"/>
        <v>1</v>
      </c>
      <c r="F221">
        <v>2</v>
      </c>
      <c r="G221" t="s">
        <v>20</v>
      </c>
      <c r="H221">
        <f t="shared" si="26"/>
        <v>1</v>
      </c>
      <c r="I221" t="s">
        <v>19</v>
      </c>
      <c r="J221">
        <f t="shared" si="27"/>
        <v>0</v>
      </c>
      <c r="K221">
        <v>4283</v>
      </c>
      <c r="L221">
        <v>2383</v>
      </c>
      <c r="M221">
        <v>127000</v>
      </c>
      <c r="N221">
        <v>360</v>
      </c>
      <c r="O221">
        <v>1</v>
      </c>
      <c r="P221" t="s">
        <v>35</v>
      </c>
      <c r="Q221">
        <f t="shared" si="28"/>
        <v>0</v>
      </c>
      <c r="R221">
        <f t="shared" si="29"/>
        <v>1</v>
      </c>
      <c r="S221">
        <f t="shared" si="30"/>
        <v>0</v>
      </c>
      <c r="T221" t="s">
        <v>22</v>
      </c>
      <c r="U221">
        <f t="shared" si="31"/>
        <v>1</v>
      </c>
      <c r="V221">
        <v>8.3626424315676395</v>
      </c>
      <c r="W221">
        <v>7.7765350281852408</v>
      </c>
      <c r="X221">
        <v>11.751942365440728</v>
      </c>
      <c r="Y221" t="s">
        <v>23</v>
      </c>
    </row>
    <row r="222" spans="1:25" x14ac:dyDescent="0.3">
      <c r="A222" t="s">
        <v>251</v>
      </c>
      <c r="B222" t="s">
        <v>18</v>
      </c>
      <c r="C222">
        <f t="shared" si="24"/>
        <v>1</v>
      </c>
      <c r="D222" t="s">
        <v>25</v>
      </c>
      <c r="E222">
        <f t="shared" si="25"/>
        <v>1</v>
      </c>
      <c r="F222">
        <v>0</v>
      </c>
      <c r="G222" t="s">
        <v>20</v>
      </c>
      <c r="H222">
        <f t="shared" si="26"/>
        <v>1</v>
      </c>
      <c r="I222" t="s">
        <v>19</v>
      </c>
      <c r="J222">
        <f t="shared" si="27"/>
        <v>0</v>
      </c>
      <c r="K222">
        <v>2221</v>
      </c>
      <c r="L222">
        <v>0</v>
      </c>
      <c r="M222">
        <v>60000</v>
      </c>
      <c r="N222">
        <v>360</v>
      </c>
      <c r="O222">
        <v>0</v>
      </c>
      <c r="P222" t="s">
        <v>21</v>
      </c>
      <c r="Q222">
        <f t="shared" si="28"/>
        <v>1</v>
      </c>
      <c r="R222">
        <f t="shared" si="29"/>
        <v>0</v>
      </c>
      <c r="S222">
        <f t="shared" si="30"/>
        <v>0</v>
      </c>
      <c r="T222" t="s">
        <v>27</v>
      </c>
      <c r="U222">
        <f t="shared" si="31"/>
        <v>0</v>
      </c>
      <c r="V222">
        <v>7.7061629701995749</v>
      </c>
      <c r="W222">
        <v>0</v>
      </c>
      <c r="X222">
        <v>11.002099841204238</v>
      </c>
      <c r="Y222" t="s">
        <v>23</v>
      </c>
    </row>
    <row r="223" spans="1:25" x14ac:dyDescent="0.3">
      <c r="A223" t="s">
        <v>252</v>
      </c>
      <c r="B223" t="s">
        <v>18</v>
      </c>
      <c r="C223">
        <f t="shared" si="24"/>
        <v>1</v>
      </c>
      <c r="D223" t="s">
        <v>25</v>
      </c>
      <c r="E223">
        <f t="shared" si="25"/>
        <v>1</v>
      </c>
      <c r="F223">
        <v>2</v>
      </c>
      <c r="G223" t="s">
        <v>20</v>
      </c>
      <c r="H223">
        <f t="shared" si="26"/>
        <v>1</v>
      </c>
      <c r="I223" t="s">
        <v>19</v>
      </c>
      <c r="J223">
        <f t="shared" si="27"/>
        <v>0</v>
      </c>
      <c r="K223">
        <v>4009</v>
      </c>
      <c r="L223">
        <v>1717</v>
      </c>
      <c r="M223">
        <v>116000</v>
      </c>
      <c r="N223">
        <v>360</v>
      </c>
      <c r="O223">
        <v>1</v>
      </c>
      <c r="P223" t="s">
        <v>35</v>
      </c>
      <c r="Q223">
        <f t="shared" si="28"/>
        <v>0</v>
      </c>
      <c r="R223">
        <f t="shared" si="29"/>
        <v>1</v>
      </c>
      <c r="S223">
        <f t="shared" si="30"/>
        <v>0</v>
      </c>
      <c r="T223" t="s">
        <v>22</v>
      </c>
      <c r="U223">
        <f t="shared" si="31"/>
        <v>1</v>
      </c>
      <c r="V223">
        <v>8.2965465203006143</v>
      </c>
      <c r="W223">
        <v>7.4489161025442003</v>
      </c>
      <c r="X223">
        <v>11.661345470088502</v>
      </c>
      <c r="Y223" t="s">
        <v>23</v>
      </c>
    </row>
    <row r="224" spans="1:25" x14ac:dyDescent="0.3">
      <c r="A224" t="s">
        <v>253</v>
      </c>
      <c r="B224" t="s">
        <v>18</v>
      </c>
      <c r="C224">
        <f t="shared" si="24"/>
        <v>1</v>
      </c>
      <c r="D224" t="s">
        <v>19</v>
      </c>
      <c r="E224">
        <f t="shared" si="25"/>
        <v>0</v>
      </c>
      <c r="F224">
        <v>0</v>
      </c>
      <c r="G224" t="s">
        <v>20</v>
      </c>
      <c r="H224">
        <f t="shared" si="26"/>
        <v>1</v>
      </c>
      <c r="I224" t="s">
        <v>19</v>
      </c>
      <c r="J224">
        <f t="shared" si="27"/>
        <v>0</v>
      </c>
      <c r="K224">
        <v>2971</v>
      </c>
      <c r="L224">
        <v>2791</v>
      </c>
      <c r="M224">
        <v>144000</v>
      </c>
      <c r="N224">
        <v>360</v>
      </c>
      <c r="O224">
        <v>1</v>
      </c>
      <c r="P224" t="s">
        <v>35</v>
      </c>
      <c r="Q224">
        <f t="shared" si="28"/>
        <v>0</v>
      </c>
      <c r="R224">
        <f t="shared" si="29"/>
        <v>1</v>
      </c>
      <c r="S224">
        <f t="shared" si="30"/>
        <v>0</v>
      </c>
      <c r="T224" t="s">
        <v>22</v>
      </c>
      <c r="U224">
        <f t="shared" si="31"/>
        <v>1</v>
      </c>
      <c r="V224">
        <v>7.99699040583765</v>
      </c>
      <c r="W224">
        <v>7.9345134638822632</v>
      </c>
      <c r="X224">
        <v>11.877568578558138</v>
      </c>
      <c r="Y224" t="s">
        <v>23</v>
      </c>
    </row>
    <row r="225" spans="1:25" x14ac:dyDescent="0.3">
      <c r="A225" t="s">
        <v>254</v>
      </c>
      <c r="B225" t="s">
        <v>18</v>
      </c>
      <c r="C225">
        <f t="shared" si="24"/>
        <v>1</v>
      </c>
      <c r="D225" t="s">
        <v>25</v>
      </c>
      <c r="E225">
        <f t="shared" si="25"/>
        <v>1</v>
      </c>
      <c r="F225">
        <v>0</v>
      </c>
      <c r="G225" t="s">
        <v>20</v>
      </c>
      <c r="H225">
        <f t="shared" si="26"/>
        <v>1</v>
      </c>
      <c r="I225" t="s">
        <v>19</v>
      </c>
      <c r="J225">
        <f t="shared" si="27"/>
        <v>0</v>
      </c>
      <c r="K225">
        <v>7578</v>
      </c>
      <c r="L225">
        <v>1010</v>
      </c>
      <c r="M225">
        <v>175000</v>
      </c>
      <c r="N225">
        <v>360</v>
      </c>
      <c r="O225">
        <v>1</v>
      </c>
      <c r="P225" t="s">
        <v>35</v>
      </c>
      <c r="Q225">
        <f t="shared" si="28"/>
        <v>0</v>
      </c>
      <c r="R225">
        <f t="shared" si="29"/>
        <v>1</v>
      </c>
      <c r="S225">
        <f t="shared" si="30"/>
        <v>0</v>
      </c>
      <c r="T225" t="s">
        <v>22</v>
      </c>
      <c r="U225">
        <f t="shared" si="31"/>
        <v>1</v>
      </c>
      <c r="V225">
        <v>8.9331365438120294</v>
      </c>
      <c r="W225">
        <v>6.9186952190204716</v>
      </c>
      <c r="X225">
        <v>12.072541252905651</v>
      </c>
      <c r="Y225" t="s">
        <v>23</v>
      </c>
    </row>
    <row r="226" spans="1:25" x14ac:dyDescent="0.3">
      <c r="A226" t="s">
        <v>255</v>
      </c>
      <c r="B226" t="s">
        <v>18</v>
      </c>
      <c r="C226">
        <f t="shared" si="24"/>
        <v>1</v>
      </c>
      <c r="D226" t="s">
        <v>25</v>
      </c>
      <c r="E226">
        <f t="shared" si="25"/>
        <v>1</v>
      </c>
      <c r="F226">
        <v>0</v>
      </c>
      <c r="G226" t="s">
        <v>20</v>
      </c>
      <c r="H226">
        <f t="shared" si="26"/>
        <v>1</v>
      </c>
      <c r="I226" t="s">
        <v>19</v>
      </c>
      <c r="J226">
        <f t="shared" si="27"/>
        <v>0</v>
      </c>
      <c r="K226">
        <v>6250</v>
      </c>
      <c r="L226">
        <v>0</v>
      </c>
      <c r="M226">
        <v>128000</v>
      </c>
      <c r="N226">
        <v>360</v>
      </c>
      <c r="O226">
        <v>1</v>
      </c>
      <c r="P226" t="s">
        <v>35</v>
      </c>
      <c r="Q226">
        <f t="shared" si="28"/>
        <v>0</v>
      </c>
      <c r="R226">
        <f t="shared" si="29"/>
        <v>1</v>
      </c>
      <c r="S226">
        <f t="shared" si="30"/>
        <v>0</v>
      </c>
      <c r="T226" t="s">
        <v>22</v>
      </c>
      <c r="U226">
        <f t="shared" si="31"/>
        <v>1</v>
      </c>
      <c r="V226">
        <v>8.740496729931813</v>
      </c>
      <c r="W226">
        <v>0</v>
      </c>
      <c r="X226">
        <v>11.759785542901755</v>
      </c>
      <c r="Y226" t="s">
        <v>23</v>
      </c>
    </row>
    <row r="227" spans="1:25" x14ac:dyDescent="0.3">
      <c r="A227" t="s">
        <v>256</v>
      </c>
      <c r="B227" t="s">
        <v>18</v>
      </c>
      <c r="C227">
        <f t="shared" si="24"/>
        <v>1</v>
      </c>
      <c r="D227" t="s">
        <v>25</v>
      </c>
      <c r="E227">
        <f t="shared" si="25"/>
        <v>1</v>
      </c>
      <c r="F227">
        <v>0</v>
      </c>
      <c r="G227" t="s">
        <v>20</v>
      </c>
      <c r="H227">
        <f t="shared" si="26"/>
        <v>1</v>
      </c>
      <c r="I227" t="s">
        <v>19</v>
      </c>
      <c r="J227">
        <f t="shared" si="27"/>
        <v>0</v>
      </c>
      <c r="K227">
        <v>3250</v>
      </c>
      <c r="L227">
        <v>0</v>
      </c>
      <c r="M227">
        <v>170000</v>
      </c>
      <c r="N227">
        <v>360</v>
      </c>
      <c r="O227">
        <v>1</v>
      </c>
      <c r="P227" t="s">
        <v>26</v>
      </c>
      <c r="Q227">
        <f t="shared" si="28"/>
        <v>0</v>
      </c>
      <c r="R227">
        <f t="shared" si="29"/>
        <v>0</v>
      </c>
      <c r="S227">
        <f t="shared" si="30"/>
        <v>1</v>
      </c>
      <c r="T227" t="s">
        <v>27</v>
      </c>
      <c r="U227">
        <f t="shared" si="31"/>
        <v>0</v>
      </c>
      <c r="V227">
        <v>8.0867179203039061</v>
      </c>
      <c r="W227">
        <v>0</v>
      </c>
      <c r="X227">
        <v>12.043553716032399</v>
      </c>
      <c r="Y227" t="s">
        <v>23</v>
      </c>
    </row>
    <row r="228" spans="1:25" x14ac:dyDescent="0.3">
      <c r="A228" t="s">
        <v>257</v>
      </c>
      <c r="B228" t="s">
        <v>18</v>
      </c>
      <c r="C228">
        <f t="shared" si="24"/>
        <v>1</v>
      </c>
      <c r="D228" t="s">
        <v>25</v>
      </c>
      <c r="E228">
        <f t="shared" si="25"/>
        <v>1</v>
      </c>
      <c r="F228">
        <v>0</v>
      </c>
      <c r="G228" t="s">
        <v>30</v>
      </c>
      <c r="H228">
        <f t="shared" si="26"/>
        <v>0</v>
      </c>
      <c r="I228" t="s">
        <v>25</v>
      </c>
      <c r="J228">
        <f t="shared" si="27"/>
        <v>1</v>
      </c>
      <c r="K228">
        <v>4735</v>
      </c>
      <c r="L228">
        <v>0</v>
      </c>
      <c r="M228">
        <v>138000</v>
      </c>
      <c r="N228">
        <v>360</v>
      </c>
      <c r="O228">
        <v>1</v>
      </c>
      <c r="P228" t="s">
        <v>21</v>
      </c>
      <c r="Q228">
        <f t="shared" si="28"/>
        <v>1</v>
      </c>
      <c r="R228">
        <f t="shared" si="29"/>
        <v>0</v>
      </c>
      <c r="S228">
        <f t="shared" si="30"/>
        <v>0</v>
      </c>
      <c r="T228" t="s">
        <v>27</v>
      </c>
      <c r="U228">
        <f t="shared" si="31"/>
        <v>0</v>
      </c>
      <c r="V228">
        <v>8.4629481765638417</v>
      </c>
      <c r="W228">
        <v>0</v>
      </c>
      <c r="X228">
        <v>11.835008964139341</v>
      </c>
      <c r="Y228" t="s">
        <v>23</v>
      </c>
    </row>
    <row r="229" spans="1:25" x14ac:dyDescent="0.3">
      <c r="A229" t="s">
        <v>258</v>
      </c>
      <c r="B229" t="s">
        <v>18</v>
      </c>
      <c r="C229">
        <f t="shared" si="24"/>
        <v>1</v>
      </c>
      <c r="D229" t="s">
        <v>25</v>
      </c>
      <c r="E229">
        <f t="shared" si="25"/>
        <v>1</v>
      </c>
      <c r="F229">
        <v>2</v>
      </c>
      <c r="G229" t="s">
        <v>20</v>
      </c>
      <c r="H229">
        <f t="shared" si="26"/>
        <v>1</v>
      </c>
      <c r="I229" t="s">
        <v>19</v>
      </c>
      <c r="J229">
        <f t="shared" si="27"/>
        <v>0</v>
      </c>
      <c r="K229">
        <v>6250</v>
      </c>
      <c r="L229">
        <v>1695</v>
      </c>
      <c r="M229">
        <v>210000</v>
      </c>
      <c r="N229">
        <v>360</v>
      </c>
      <c r="O229">
        <v>1</v>
      </c>
      <c r="P229" t="s">
        <v>35</v>
      </c>
      <c r="Q229">
        <f t="shared" si="28"/>
        <v>0</v>
      </c>
      <c r="R229">
        <f t="shared" si="29"/>
        <v>1</v>
      </c>
      <c r="S229">
        <f t="shared" si="30"/>
        <v>0</v>
      </c>
      <c r="T229" t="s">
        <v>22</v>
      </c>
      <c r="U229">
        <f t="shared" si="31"/>
        <v>1</v>
      </c>
      <c r="V229">
        <v>8.740496729931813</v>
      </c>
      <c r="W229">
        <v>7.4360278163518494</v>
      </c>
      <c r="X229">
        <v>12.254862809699606</v>
      </c>
      <c r="Y229" t="s">
        <v>23</v>
      </c>
    </row>
    <row r="230" spans="1:25" x14ac:dyDescent="0.3">
      <c r="A230" t="s">
        <v>259</v>
      </c>
      <c r="B230" t="s">
        <v>18</v>
      </c>
      <c r="C230">
        <f t="shared" si="24"/>
        <v>1</v>
      </c>
      <c r="D230" t="s">
        <v>25</v>
      </c>
      <c r="E230">
        <f t="shared" si="25"/>
        <v>1</v>
      </c>
      <c r="F230">
        <v>0</v>
      </c>
      <c r="G230" t="s">
        <v>20</v>
      </c>
      <c r="H230">
        <f t="shared" si="26"/>
        <v>1</v>
      </c>
      <c r="I230" t="s">
        <v>19</v>
      </c>
      <c r="J230">
        <f t="shared" si="27"/>
        <v>0</v>
      </c>
      <c r="K230">
        <v>4758</v>
      </c>
      <c r="L230">
        <v>0</v>
      </c>
      <c r="M230">
        <v>158000</v>
      </c>
      <c r="N230">
        <v>480</v>
      </c>
      <c r="O230">
        <v>1</v>
      </c>
      <c r="P230" t="s">
        <v>35</v>
      </c>
      <c r="Q230">
        <f t="shared" si="28"/>
        <v>0</v>
      </c>
      <c r="R230">
        <f t="shared" si="29"/>
        <v>1</v>
      </c>
      <c r="S230">
        <f t="shared" si="30"/>
        <v>0</v>
      </c>
      <c r="T230" t="s">
        <v>22</v>
      </c>
      <c r="U230">
        <f t="shared" si="31"/>
        <v>1</v>
      </c>
      <c r="V230">
        <v>8.4677928411211099</v>
      </c>
      <c r="W230">
        <v>0</v>
      </c>
      <c r="X230">
        <v>11.970350312009105</v>
      </c>
      <c r="Y230" t="s">
        <v>23</v>
      </c>
    </row>
    <row r="231" spans="1:25" x14ac:dyDescent="0.3">
      <c r="A231" t="s">
        <v>260</v>
      </c>
      <c r="B231" t="s">
        <v>18</v>
      </c>
      <c r="C231">
        <f t="shared" si="24"/>
        <v>1</v>
      </c>
      <c r="D231" t="s">
        <v>19</v>
      </c>
      <c r="E231">
        <f t="shared" si="25"/>
        <v>0</v>
      </c>
      <c r="F231">
        <v>0</v>
      </c>
      <c r="G231" t="s">
        <v>20</v>
      </c>
      <c r="H231">
        <f t="shared" si="26"/>
        <v>1</v>
      </c>
      <c r="I231" t="s">
        <v>25</v>
      </c>
      <c r="J231">
        <f t="shared" si="27"/>
        <v>1</v>
      </c>
      <c r="K231">
        <v>6400</v>
      </c>
      <c r="L231">
        <v>0</v>
      </c>
      <c r="M231">
        <v>200000</v>
      </c>
      <c r="N231">
        <v>360</v>
      </c>
      <c r="O231">
        <v>1</v>
      </c>
      <c r="P231" t="s">
        <v>26</v>
      </c>
      <c r="Q231">
        <f t="shared" si="28"/>
        <v>0</v>
      </c>
      <c r="R231">
        <f t="shared" si="29"/>
        <v>0</v>
      </c>
      <c r="S231">
        <f t="shared" si="30"/>
        <v>1</v>
      </c>
      <c r="T231" t="s">
        <v>22</v>
      </c>
      <c r="U231">
        <f t="shared" si="31"/>
        <v>1</v>
      </c>
      <c r="V231">
        <v>8.7642095071420041</v>
      </c>
      <c r="W231">
        <v>0</v>
      </c>
      <c r="X231">
        <v>12.206072645530174</v>
      </c>
      <c r="Y231" t="s">
        <v>23</v>
      </c>
    </row>
    <row r="232" spans="1:25" x14ac:dyDescent="0.3">
      <c r="A232" t="s">
        <v>261</v>
      </c>
      <c r="B232" t="s">
        <v>18</v>
      </c>
      <c r="C232">
        <f t="shared" si="24"/>
        <v>1</v>
      </c>
      <c r="D232" t="s">
        <v>25</v>
      </c>
      <c r="E232">
        <f t="shared" si="25"/>
        <v>1</v>
      </c>
      <c r="F232">
        <v>1</v>
      </c>
      <c r="G232" t="s">
        <v>20</v>
      </c>
      <c r="H232">
        <f t="shared" si="26"/>
        <v>1</v>
      </c>
      <c r="I232" t="s">
        <v>19</v>
      </c>
      <c r="J232">
        <f t="shared" si="27"/>
        <v>0</v>
      </c>
      <c r="K232">
        <v>2491</v>
      </c>
      <c r="L232">
        <v>2054</v>
      </c>
      <c r="M232">
        <v>104000</v>
      </c>
      <c r="N232">
        <v>360</v>
      </c>
      <c r="O232">
        <v>1</v>
      </c>
      <c r="P232" t="s">
        <v>35</v>
      </c>
      <c r="Q232">
        <f t="shared" si="28"/>
        <v>0</v>
      </c>
      <c r="R232">
        <f t="shared" si="29"/>
        <v>1</v>
      </c>
      <c r="S232">
        <f t="shared" si="30"/>
        <v>0</v>
      </c>
      <c r="T232" t="s">
        <v>22</v>
      </c>
      <c r="U232">
        <f t="shared" si="31"/>
        <v>1</v>
      </c>
      <c r="V232">
        <v>7.8208408799073439</v>
      </c>
      <c r="W232">
        <v>7.6280311269303347</v>
      </c>
      <c r="X232">
        <v>11.552146178123509</v>
      </c>
      <c r="Y232" t="s">
        <v>23</v>
      </c>
    </row>
    <row r="233" spans="1:25" x14ac:dyDescent="0.3">
      <c r="A233" t="s">
        <v>262</v>
      </c>
      <c r="B233" t="s">
        <v>18</v>
      </c>
      <c r="C233">
        <f t="shared" si="24"/>
        <v>1</v>
      </c>
      <c r="D233" t="s">
        <v>25</v>
      </c>
      <c r="E233">
        <f t="shared" si="25"/>
        <v>1</v>
      </c>
      <c r="F233">
        <v>0</v>
      </c>
      <c r="G233" t="s">
        <v>20</v>
      </c>
      <c r="H233">
        <f t="shared" si="26"/>
        <v>1</v>
      </c>
      <c r="I233" t="s">
        <v>19</v>
      </c>
      <c r="J233">
        <f t="shared" si="27"/>
        <v>0</v>
      </c>
      <c r="K233">
        <v>3716</v>
      </c>
      <c r="L233">
        <v>0</v>
      </c>
      <c r="M233">
        <v>42000</v>
      </c>
      <c r="N233">
        <v>180</v>
      </c>
      <c r="O233">
        <v>1</v>
      </c>
      <c r="P233" t="s">
        <v>26</v>
      </c>
      <c r="Q233">
        <f t="shared" si="28"/>
        <v>0</v>
      </c>
      <c r="R233">
        <f t="shared" si="29"/>
        <v>0</v>
      </c>
      <c r="S233">
        <f t="shared" si="30"/>
        <v>1</v>
      </c>
      <c r="T233" t="s">
        <v>22</v>
      </c>
      <c r="U233">
        <f t="shared" si="31"/>
        <v>1</v>
      </c>
      <c r="V233">
        <v>8.2206721702972523</v>
      </c>
      <c r="W233">
        <v>0</v>
      </c>
      <c r="X233">
        <v>10.645424897265505</v>
      </c>
      <c r="Y233" t="s">
        <v>46</v>
      </c>
    </row>
    <row r="234" spans="1:25" x14ac:dyDescent="0.3">
      <c r="A234" t="s">
        <v>263</v>
      </c>
      <c r="B234" t="s">
        <v>18</v>
      </c>
      <c r="C234">
        <f t="shared" si="24"/>
        <v>1</v>
      </c>
      <c r="D234" t="s">
        <v>19</v>
      </c>
      <c r="E234">
        <f t="shared" si="25"/>
        <v>0</v>
      </c>
      <c r="F234">
        <v>0</v>
      </c>
      <c r="G234" t="s">
        <v>30</v>
      </c>
      <c r="H234">
        <f t="shared" si="26"/>
        <v>0</v>
      </c>
      <c r="I234" t="s">
        <v>19</v>
      </c>
      <c r="J234">
        <f t="shared" si="27"/>
        <v>0</v>
      </c>
      <c r="K234">
        <v>3189</v>
      </c>
      <c r="L234">
        <v>2598</v>
      </c>
      <c r="M234">
        <v>120000</v>
      </c>
      <c r="N234">
        <v>360</v>
      </c>
      <c r="O234">
        <v>1</v>
      </c>
      <c r="P234" t="s">
        <v>26</v>
      </c>
      <c r="Q234">
        <f t="shared" si="28"/>
        <v>0</v>
      </c>
      <c r="R234">
        <f t="shared" si="29"/>
        <v>0</v>
      </c>
      <c r="S234">
        <f t="shared" si="30"/>
        <v>1</v>
      </c>
      <c r="T234" t="s">
        <v>22</v>
      </c>
      <c r="U234">
        <f t="shared" si="31"/>
        <v>1</v>
      </c>
      <c r="V234">
        <v>8.0677761957788903</v>
      </c>
      <c r="W234">
        <v>7.8628820346414896</v>
      </c>
      <c r="X234">
        <v>11.695247021764184</v>
      </c>
      <c r="Y234" t="s">
        <v>23</v>
      </c>
    </row>
    <row r="235" spans="1:25" x14ac:dyDescent="0.3">
      <c r="A235" t="s">
        <v>264</v>
      </c>
      <c r="B235" t="s">
        <v>48</v>
      </c>
      <c r="C235">
        <f t="shared" si="24"/>
        <v>0</v>
      </c>
      <c r="D235" t="s">
        <v>19</v>
      </c>
      <c r="E235">
        <f t="shared" si="25"/>
        <v>0</v>
      </c>
      <c r="F235">
        <v>0</v>
      </c>
      <c r="G235" t="s">
        <v>20</v>
      </c>
      <c r="H235">
        <f t="shared" si="26"/>
        <v>1</v>
      </c>
      <c r="I235" t="s">
        <v>19</v>
      </c>
      <c r="J235">
        <f t="shared" si="27"/>
        <v>0</v>
      </c>
      <c r="K235">
        <v>8333</v>
      </c>
      <c r="L235">
        <v>0</v>
      </c>
      <c r="M235">
        <v>280000</v>
      </c>
      <c r="N235">
        <v>360</v>
      </c>
      <c r="O235">
        <v>1</v>
      </c>
      <c r="P235" t="s">
        <v>35</v>
      </c>
      <c r="Q235">
        <f t="shared" si="28"/>
        <v>0</v>
      </c>
      <c r="R235">
        <f t="shared" si="29"/>
        <v>1</v>
      </c>
      <c r="S235">
        <f t="shared" si="30"/>
        <v>0</v>
      </c>
      <c r="T235" t="s">
        <v>22</v>
      </c>
      <c r="U235">
        <f t="shared" si="31"/>
        <v>1</v>
      </c>
      <c r="V235">
        <v>9.0280988119823995</v>
      </c>
      <c r="W235">
        <v>0</v>
      </c>
      <c r="X235">
        <v>12.542544882151386</v>
      </c>
      <c r="Y235" t="s">
        <v>23</v>
      </c>
    </row>
    <row r="236" spans="1:25" x14ac:dyDescent="0.3">
      <c r="A236" t="s">
        <v>265</v>
      </c>
      <c r="B236" t="s">
        <v>18</v>
      </c>
      <c r="C236">
        <f t="shared" si="24"/>
        <v>1</v>
      </c>
      <c r="D236" t="s">
        <v>25</v>
      </c>
      <c r="E236">
        <f t="shared" si="25"/>
        <v>1</v>
      </c>
      <c r="F236">
        <v>1</v>
      </c>
      <c r="G236" t="s">
        <v>20</v>
      </c>
      <c r="H236">
        <f t="shared" si="26"/>
        <v>1</v>
      </c>
      <c r="I236" t="s">
        <v>19</v>
      </c>
      <c r="J236">
        <f t="shared" si="27"/>
        <v>0</v>
      </c>
      <c r="K236">
        <v>3155</v>
      </c>
      <c r="L236">
        <v>1779</v>
      </c>
      <c r="M236">
        <v>140000</v>
      </c>
      <c r="N236">
        <v>360</v>
      </c>
      <c r="O236">
        <v>1</v>
      </c>
      <c r="P236" t="s">
        <v>35</v>
      </c>
      <c r="Q236">
        <f t="shared" si="28"/>
        <v>0</v>
      </c>
      <c r="R236">
        <f t="shared" si="29"/>
        <v>1</v>
      </c>
      <c r="S236">
        <f t="shared" si="30"/>
        <v>0</v>
      </c>
      <c r="T236" t="s">
        <v>22</v>
      </c>
      <c r="U236">
        <f t="shared" si="31"/>
        <v>1</v>
      </c>
      <c r="V236">
        <v>8.0570606819657655</v>
      </c>
      <c r="W236">
        <v>7.4843686432861309</v>
      </c>
      <c r="X236">
        <v>11.849397701591441</v>
      </c>
      <c r="Y236" t="s">
        <v>23</v>
      </c>
    </row>
    <row r="237" spans="1:25" x14ac:dyDescent="0.3">
      <c r="A237" t="s">
        <v>266</v>
      </c>
      <c r="B237" t="s">
        <v>18</v>
      </c>
      <c r="C237">
        <f t="shared" si="24"/>
        <v>1</v>
      </c>
      <c r="D237" t="s">
        <v>25</v>
      </c>
      <c r="E237">
        <f t="shared" si="25"/>
        <v>1</v>
      </c>
      <c r="F237">
        <v>1</v>
      </c>
      <c r="G237" t="s">
        <v>20</v>
      </c>
      <c r="H237">
        <f t="shared" si="26"/>
        <v>1</v>
      </c>
      <c r="I237" t="s">
        <v>19</v>
      </c>
      <c r="J237">
        <f t="shared" si="27"/>
        <v>0</v>
      </c>
      <c r="K237">
        <v>5500</v>
      </c>
      <c r="L237">
        <v>1260</v>
      </c>
      <c r="M237">
        <v>170000</v>
      </c>
      <c r="N237">
        <v>360</v>
      </c>
      <c r="O237">
        <v>1</v>
      </c>
      <c r="P237" t="s">
        <v>26</v>
      </c>
      <c r="Q237">
        <f t="shared" si="28"/>
        <v>0</v>
      </c>
      <c r="R237">
        <f t="shared" si="29"/>
        <v>0</v>
      </c>
      <c r="S237">
        <f t="shared" si="30"/>
        <v>1</v>
      </c>
      <c r="T237" t="s">
        <v>22</v>
      </c>
      <c r="U237">
        <f t="shared" si="31"/>
        <v>1</v>
      </c>
      <c r="V237">
        <v>8.6126851728754588</v>
      </c>
      <c r="W237">
        <v>7.1396603359649191</v>
      </c>
      <c r="X237">
        <v>12.043553716032399</v>
      </c>
      <c r="Y237" t="s">
        <v>23</v>
      </c>
    </row>
    <row r="238" spans="1:25" x14ac:dyDescent="0.3">
      <c r="A238" t="s">
        <v>267</v>
      </c>
      <c r="B238" t="s">
        <v>18</v>
      </c>
      <c r="C238">
        <f t="shared" si="24"/>
        <v>1</v>
      </c>
      <c r="D238" t="s">
        <v>25</v>
      </c>
      <c r="E238">
        <f t="shared" si="25"/>
        <v>1</v>
      </c>
      <c r="F238">
        <v>0</v>
      </c>
      <c r="G238" t="s">
        <v>20</v>
      </c>
      <c r="H238">
        <f t="shared" si="26"/>
        <v>1</v>
      </c>
      <c r="I238" t="s">
        <v>19</v>
      </c>
      <c r="J238">
        <f t="shared" si="27"/>
        <v>0</v>
      </c>
      <c r="K238">
        <v>5746</v>
      </c>
      <c r="L238">
        <v>0</v>
      </c>
      <c r="M238">
        <v>255000</v>
      </c>
      <c r="N238">
        <v>360</v>
      </c>
      <c r="O238">
        <v>1</v>
      </c>
      <c r="P238" t="s">
        <v>21</v>
      </c>
      <c r="Q238">
        <f t="shared" si="28"/>
        <v>1</v>
      </c>
      <c r="R238">
        <f t="shared" si="29"/>
        <v>0</v>
      </c>
      <c r="S238">
        <f t="shared" si="30"/>
        <v>0</v>
      </c>
      <c r="T238" t="s">
        <v>27</v>
      </c>
      <c r="U238">
        <f t="shared" si="31"/>
        <v>0</v>
      </c>
      <c r="V238">
        <v>8.6564332585077413</v>
      </c>
      <c r="W238">
        <v>0</v>
      </c>
      <c r="X238">
        <v>12.449018824140563</v>
      </c>
      <c r="Y238" t="s">
        <v>23</v>
      </c>
    </row>
    <row r="239" spans="1:25" x14ac:dyDescent="0.3">
      <c r="A239" t="s">
        <v>268</v>
      </c>
      <c r="B239" t="s">
        <v>48</v>
      </c>
      <c r="C239">
        <f t="shared" si="24"/>
        <v>0</v>
      </c>
      <c r="D239" t="s">
        <v>19</v>
      </c>
      <c r="E239">
        <f t="shared" si="25"/>
        <v>0</v>
      </c>
      <c r="F239">
        <v>0</v>
      </c>
      <c r="G239" t="s">
        <v>20</v>
      </c>
      <c r="H239">
        <f t="shared" si="26"/>
        <v>1</v>
      </c>
      <c r="I239" t="s">
        <v>25</v>
      </c>
      <c r="J239">
        <f t="shared" si="27"/>
        <v>1</v>
      </c>
      <c r="K239">
        <v>3463</v>
      </c>
      <c r="L239">
        <v>0</v>
      </c>
      <c r="M239">
        <v>122000</v>
      </c>
      <c r="N239">
        <v>360</v>
      </c>
      <c r="O239">
        <v>1</v>
      </c>
      <c r="P239" t="s">
        <v>21</v>
      </c>
      <c r="Q239">
        <f t="shared" si="28"/>
        <v>1</v>
      </c>
      <c r="R239">
        <f t="shared" si="29"/>
        <v>0</v>
      </c>
      <c r="S239">
        <f t="shared" si="30"/>
        <v>0</v>
      </c>
      <c r="T239" t="s">
        <v>22</v>
      </c>
      <c r="U239">
        <f t="shared" si="31"/>
        <v>1</v>
      </c>
      <c r="V239">
        <v>8.1501792696823259</v>
      </c>
      <c r="W239">
        <v>0</v>
      </c>
      <c r="X239">
        <v>11.711776323715394</v>
      </c>
      <c r="Y239" t="s">
        <v>23</v>
      </c>
    </row>
    <row r="240" spans="1:25" x14ac:dyDescent="0.3">
      <c r="A240" t="s">
        <v>269</v>
      </c>
      <c r="B240" t="s">
        <v>48</v>
      </c>
      <c r="C240">
        <f t="shared" si="24"/>
        <v>0</v>
      </c>
      <c r="D240" t="s">
        <v>19</v>
      </c>
      <c r="E240">
        <f t="shared" si="25"/>
        <v>0</v>
      </c>
      <c r="F240">
        <v>1</v>
      </c>
      <c r="G240" t="s">
        <v>20</v>
      </c>
      <c r="H240">
        <f t="shared" si="26"/>
        <v>1</v>
      </c>
      <c r="I240" t="s">
        <v>19</v>
      </c>
      <c r="J240">
        <f t="shared" si="27"/>
        <v>0</v>
      </c>
      <c r="K240">
        <v>3812</v>
      </c>
      <c r="L240">
        <v>0</v>
      </c>
      <c r="M240">
        <v>112000</v>
      </c>
      <c r="N240">
        <v>360</v>
      </c>
      <c r="O240">
        <v>1</v>
      </c>
      <c r="P240" t="s">
        <v>26</v>
      </c>
      <c r="Q240">
        <f t="shared" si="28"/>
        <v>0</v>
      </c>
      <c r="R240">
        <f t="shared" si="29"/>
        <v>0</v>
      </c>
      <c r="S240">
        <f t="shared" si="30"/>
        <v>1</v>
      </c>
      <c r="T240" t="s">
        <v>22</v>
      </c>
      <c r="U240">
        <f t="shared" si="31"/>
        <v>1</v>
      </c>
      <c r="V240">
        <v>8.2461715598575633</v>
      </c>
      <c r="W240">
        <v>0</v>
      </c>
      <c r="X240">
        <v>11.626254150277232</v>
      </c>
      <c r="Y240" t="s">
        <v>23</v>
      </c>
    </row>
    <row r="241" spans="1:25" x14ac:dyDescent="0.3">
      <c r="A241" t="s">
        <v>270</v>
      </c>
      <c r="B241" t="s">
        <v>18</v>
      </c>
      <c r="C241">
        <f t="shared" si="24"/>
        <v>1</v>
      </c>
      <c r="D241" t="s">
        <v>25</v>
      </c>
      <c r="E241">
        <f t="shared" si="25"/>
        <v>1</v>
      </c>
      <c r="F241">
        <v>1</v>
      </c>
      <c r="G241" t="s">
        <v>20</v>
      </c>
      <c r="H241">
        <f t="shared" si="26"/>
        <v>1</v>
      </c>
      <c r="I241" t="s">
        <v>19</v>
      </c>
      <c r="J241">
        <f t="shared" si="27"/>
        <v>0</v>
      </c>
      <c r="K241">
        <v>3315</v>
      </c>
      <c r="L241">
        <v>0</v>
      </c>
      <c r="M241">
        <v>96000</v>
      </c>
      <c r="N241">
        <v>360</v>
      </c>
      <c r="O241">
        <v>1</v>
      </c>
      <c r="P241" t="s">
        <v>35</v>
      </c>
      <c r="Q241">
        <f t="shared" si="28"/>
        <v>0</v>
      </c>
      <c r="R241">
        <f t="shared" si="29"/>
        <v>1</v>
      </c>
      <c r="S241">
        <f t="shared" si="30"/>
        <v>0</v>
      </c>
      <c r="T241" t="s">
        <v>22</v>
      </c>
      <c r="U241">
        <f t="shared" si="31"/>
        <v>1</v>
      </c>
      <c r="V241">
        <v>8.106514516255185</v>
      </c>
      <c r="W241">
        <v>0</v>
      </c>
      <c r="X241">
        <v>11.472103470449973</v>
      </c>
      <c r="Y241" t="s">
        <v>23</v>
      </c>
    </row>
    <row r="242" spans="1:25" x14ac:dyDescent="0.3">
      <c r="A242" t="s">
        <v>271</v>
      </c>
      <c r="B242" t="s">
        <v>18</v>
      </c>
      <c r="C242">
        <f t="shared" si="24"/>
        <v>1</v>
      </c>
      <c r="D242" t="s">
        <v>25</v>
      </c>
      <c r="E242">
        <f t="shared" si="25"/>
        <v>1</v>
      </c>
      <c r="F242">
        <v>2</v>
      </c>
      <c r="G242" t="s">
        <v>20</v>
      </c>
      <c r="H242">
        <f t="shared" si="26"/>
        <v>1</v>
      </c>
      <c r="I242" t="s">
        <v>19</v>
      </c>
      <c r="J242">
        <f t="shared" si="27"/>
        <v>0</v>
      </c>
      <c r="K242">
        <v>5819</v>
      </c>
      <c r="L242">
        <v>5000</v>
      </c>
      <c r="M242">
        <v>120000</v>
      </c>
      <c r="N242">
        <v>360</v>
      </c>
      <c r="O242">
        <v>1</v>
      </c>
      <c r="P242" t="s">
        <v>26</v>
      </c>
      <c r="Q242">
        <f t="shared" si="28"/>
        <v>0</v>
      </c>
      <c r="R242">
        <f t="shared" si="29"/>
        <v>0</v>
      </c>
      <c r="S242">
        <f t="shared" si="30"/>
        <v>1</v>
      </c>
      <c r="T242" t="s">
        <v>22</v>
      </c>
      <c r="U242">
        <f t="shared" si="31"/>
        <v>1</v>
      </c>
      <c r="V242">
        <v>8.6690555407254841</v>
      </c>
      <c r="W242">
        <v>8.5173931714189042</v>
      </c>
      <c r="X242">
        <v>11.695247021764184</v>
      </c>
      <c r="Y242" t="s">
        <v>23</v>
      </c>
    </row>
    <row r="243" spans="1:25" x14ac:dyDescent="0.3">
      <c r="A243" t="s">
        <v>272</v>
      </c>
      <c r="B243" t="s">
        <v>18</v>
      </c>
      <c r="C243">
        <f t="shared" si="24"/>
        <v>1</v>
      </c>
      <c r="D243" t="s">
        <v>25</v>
      </c>
      <c r="E243">
        <f t="shared" si="25"/>
        <v>1</v>
      </c>
      <c r="F243">
        <v>1</v>
      </c>
      <c r="G243" t="s">
        <v>30</v>
      </c>
      <c r="H243">
        <f t="shared" si="26"/>
        <v>0</v>
      </c>
      <c r="I243" t="s">
        <v>19</v>
      </c>
      <c r="J243">
        <f t="shared" si="27"/>
        <v>0</v>
      </c>
      <c r="K243">
        <v>2510</v>
      </c>
      <c r="L243">
        <v>1983</v>
      </c>
      <c r="M243">
        <v>140000</v>
      </c>
      <c r="N243">
        <v>180</v>
      </c>
      <c r="O243">
        <v>1</v>
      </c>
      <c r="P243" t="s">
        <v>21</v>
      </c>
      <c r="Q243">
        <f t="shared" si="28"/>
        <v>1</v>
      </c>
      <c r="R243">
        <f t="shared" si="29"/>
        <v>0</v>
      </c>
      <c r="S243">
        <f t="shared" si="30"/>
        <v>0</v>
      </c>
      <c r="T243" t="s">
        <v>27</v>
      </c>
      <c r="U243">
        <f t="shared" si="31"/>
        <v>0</v>
      </c>
      <c r="V243">
        <v>7.8284363591575854</v>
      </c>
      <c r="W243">
        <v>7.5928702878448178</v>
      </c>
      <c r="X243">
        <v>11.849397701591441</v>
      </c>
      <c r="Y243" t="s">
        <v>46</v>
      </c>
    </row>
    <row r="244" spans="1:25" x14ac:dyDescent="0.3">
      <c r="A244" t="s">
        <v>273</v>
      </c>
      <c r="B244" t="s">
        <v>18</v>
      </c>
      <c r="C244">
        <f t="shared" si="24"/>
        <v>1</v>
      </c>
      <c r="D244" t="s">
        <v>19</v>
      </c>
      <c r="E244">
        <f t="shared" si="25"/>
        <v>0</v>
      </c>
      <c r="F244">
        <v>0</v>
      </c>
      <c r="G244" t="s">
        <v>20</v>
      </c>
      <c r="H244">
        <f t="shared" si="26"/>
        <v>1</v>
      </c>
      <c r="I244" t="s">
        <v>19</v>
      </c>
      <c r="J244">
        <f t="shared" si="27"/>
        <v>0</v>
      </c>
      <c r="K244">
        <v>2965</v>
      </c>
      <c r="L244">
        <v>5701</v>
      </c>
      <c r="M244">
        <v>155000</v>
      </c>
      <c r="N244">
        <v>60</v>
      </c>
      <c r="O244">
        <v>1</v>
      </c>
      <c r="P244" t="s">
        <v>21</v>
      </c>
      <c r="Q244">
        <f t="shared" si="28"/>
        <v>1</v>
      </c>
      <c r="R244">
        <f t="shared" si="29"/>
        <v>0</v>
      </c>
      <c r="S244">
        <f t="shared" si="30"/>
        <v>0</v>
      </c>
      <c r="T244" t="s">
        <v>22</v>
      </c>
      <c r="U244">
        <f t="shared" si="31"/>
        <v>1</v>
      </c>
      <c r="V244">
        <v>7.9949695226978772</v>
      </c>
      <c r="W244">
        <v>8.6485722694726181</v>
      </c>
      <c r="X244">
        <v>11.951180395901384</v>
      </c>
      <c r="Y244" t="s">
        <v>43</v>
      </c>
    </row>
    <row r="245" spans="1:25" x14ac:dyDescent="0.3">
      <c r="A245" t="s">
        <v>274</v>
      </c>
      <c r="B245" t="s">
        <v>18</v>
      </c>
      <c r="C245">
        <f t="shared" si="24"/>
        <v>1</v>
      </c>
      <c r="D245" t="s">
        <v>25</v>
      </c>
      <c r="E245">
        <f t="shared" si="25"/>
        <v>1</v>
      </c>
      <c r="F245">
        <v>2</v>
      </c>
      <c r="G245" t="s">
        <v>20</v>
      </c>
      <c r="H245">
        <f t="shared" si="26"/>
        <v>1</v>
      </c>
      <c r="I245" t="s">
        <v>25</v>
      </c>
      <c r="J245">
        <f t="shared" si="27"/>
        <v>1</v>
      </c>
      <c r="K245">
        <v>6250</v>
      </c>
      <c r="L245">
        <v>1300</v>
      </c>
      <c r="M245">
        <v>108000</v>
      </c>
      <c r="N245">
        <v>360</v>
      </c>
      <c r="O245">
        <v>1</v>
      </c>
      <c r="P245" t="s">
        <v>26</v>
      </c>
      <c r="Q245">
        <f t="shared" si="28"/>
        <v>0</v>
      </c>
      <c r="R245">
        <f t="shared" si="29"/>
        <v>0</v>
      </c>
      <c r="S245">
        <f t="shared" si="30"/>
        <v>1</v>
      </c>
      <c r="T245" t="s">
        <v>22</v>
      </c>
      <c r="U245">
        <f t="shared" si="31"/>
        <v>1</v>
      </c>
      <c r="V245">
        <v>8.740496729931813</v>
      </c>
      <c r="W245">
        <v>7.1708884785125049</v>
      </c>
      <c r="X245">
        <v>11.589886506106357</v>
      </c>
      <c r="Y245" t="s">
        <v>23</v>
      </c>
    </row>
    <row r="246" spans="1:25" x14ac:dyDescent="0.3">
      <c r="A246" t="s">
        <v>275</v>
      </c>
      <c r="B246" t="s">
        <v>18</v>
      </c>
      <c r="C246">
        <f t="shared" si="24"/>
        <v>1</v>
      </c>
      <c r="D246" t="s">
        <v>25</v>
      </c>
      <c r="E246">
        <f t="shared" si="25"/>
        <v>1</v>
      </c>
      <c r="F246">
        <v>0</v>
      </c>
      <c r="G246" t="s">
        <v>30</v>
      </c>
      <c r="H246">
        <f t="shared" si="26"/>
        <v>0</v>
      </c>
      <c r="I246" t="s">
        <v>19</v>
      </c>
      <c r="J246">
        <f t="shared" si="27"/>
        <v>0</v>
      </c>
      <c r="K246">
        <v>3406</v>
      </c>
      <c r="L246">
        <v>4417</v>
      </c>
      <c r="M246">
        <v>123000</v>
      </c>
      <c r="N246">
        <v>360</v>
      </c>
      <c r="O246">
        <v>1</v>
      </c>
      <c r="P246" t="s">
        <v>35</v>
      </c>
      <c r="Q246">
        <f t="shared" si="28"/>
        <v>0</v>
      </c>
      <c r="R246">
        <f t="shared" si="29"/>
        <v>1</v>
      </c>
      <c r="S246">
        <f t="shared" si="30"/>
        <v>0</v>
      </c>
      <c r="T246" t="s">
        <v>22</v>
      </c>
      <c r="U246">
        <f t="shared" si="31"/>
        <v>1</v>
      </c>
      <c r="V246">
        <v>8.1335874176609657</v>
      </c>
      <c r="W246">
        <v>8.3934423839800623</v>
      </c>
      <c r="X246">
        <v>11.719939634354555</v>
      </c>
      <c r="Y246" t="s">
        <v>23</v>
      </c>
    </row>
    <row r="247" spans="1:25" x14ac:dyDescent="0.3">
      <c r="A247" t="s">
        <v>276</v>
      </c>
      <c r="B247" t="s">
        <v>18</v>
      </c>
      <c r="C247">
        <f t="shared" si="24"/>
        <v>1</v>
      </c>
      <c r="D247" t="s">
        <v>19</v>
      </c>
      <c r="E247">
        <f t="shared" si="25"/>
        <v>0</v>
      </c>
      <c r="F247">
        <v>0</v>
      </c>
      <c r="G247" t="s">
        <v>20</v>
      </c>
      <c r="H247">
        <f t="shared" si="26"/>
        <v>1</v>
      </c>
      <c r="I247" t="s">
        <v>25</v>
      </c>
      <c r="J247">
        <f t="shared" si="27"/>
        <v>1</v>
      </c>
      <c r="K247">
        <v>6050</v>
      </c>
      <c r="L247">
        <v>4333</v>
      </c>
      <c r="M247">
        <v>120000</v>
      </c>
      <c r="N247">
        <v>180</v>
      </c>
      <c r="O247">
        <v>1</v>
      </c>
      <c r="P247" t="s">
        <v>21</v>
      </c>
      <c r="Q247">
        <f t="shared" si="28"/>
        <v>1</v>
      </c>
      <c r="R247">
        <f t="shared" si="29"/>
        <v>0</v>
      </c>
      <c r="S247">
        <f t="shared" si="30"/>
        <v>0</v>
      </c>
      <c r="T247" t="s">
        <v>27</v>
      </c>
      <c r="U247">
        <f t="shared" si="31"/>
        <v>0</v>
      </c>
      <c r="V247">
        <v>8.7079788266223215</v>
      </c>
      <c r="W247">
        <v>8.3742461820963037</v>
      </c>
      <c r="X247">
        <v>11.695247021764184</v>
      </c>
      <c r="Y247" t="s">
        <v>46</v>
      </c>
    </row>
    <row r="248" spans="1:25" x14ac:dyDescent="0.3">
      <c r="A248" t="s">
        <v>277</v>
      </c>
      <c r="B248" t="s">
        <v>18</v>
      </c>
      <c r="C248">
        <f t="shared" si="24"/>
        <v>1</v>
      </c>
      <c r="D248" t="s">
        <v>25</v>
      </c>
      <c r="E248">
        <f t="shared" si="25"/>
        <v>1</v>
      </c>
      <c r="F248">
        <v>2</v>
      </c>
      <c r="G248" t="s">
        <v>20</v>
      </c>
      <c r="H248">
        <f t="shared" si="26"/>
        <v>1</v>
      </c>
      <c r="I248" t="s">
        <v>19</v>
      </c>
      <c r="J248">
        <f t="shared" si="27"/>
        <v>0</v>
      </c>
      <c r="K248">
        <v>9703</v>
      </c>
      <c r="L248">
        <v>0</v>
      </c>
      <c r="M248">
        <v>112000</v>
      </c>
      <c r="N248">
        <v>360</v>
      </c>
      <c r="O248">
        <v>1</v>
      </c>
      <c r="P248" t="s">
        <v>21</v>
      </c>
      <c r="Q248">
        <f t="shared" si="28"/>
        <v>1</v>
      </c>
      <c r="R248">
        <f t="shared" si="29"/>
        <v>0</v>
      </c>
      <c r="S248">
        <f t="shared" si="30"/>
        <v>0</v>
      </c>
      <c r="T248" t="s">
        <v>22</v>
      </c>
      <c r="U248">
        <f t="shared" si="31"/>
        <v>1</v>
      </c>
      <c r="V248">
        <v>9.1802934506238856</v>
      </c>
      <c r="W248">
        <v>0</v>
      </c>
      <c r="X248">
        <v>11.626254150277232</v>
      </c>
      <c r="Y248" t="s">
        <v>23</v>
      </c>
    </row>
    <row r="249" spans="1:25" x14ac:dyDescent="0.3">
      <c r="A249" t="s">
        <v>278</v>
      </c>
      <c r="B249" t="s">
        <v>18</v>
      </c>
      <c r="C249">
        <f t="shared" si="24"/>
        <v>1</v>
      </c>
      <c r="D249" t="s">
        <v>25</v>
      </c>
      <c r="E249">
        <f t="shared" si="25"/>
        <v>1</v>
      </c>
      <c r="F249">
        <v>1</v>
      </c>
      <c r="G249" t="s">
        <v>30</v>
      </c>
      <c r="H249">
        <f t="shared" si="26"/>
        <v>0</v>
      </c>
      <c r="I249" t="s">
        <v>19</v>
      </c>
      <c r="J249">
        <f t="shared" si="27"/>
        <v>0</v>
      </c>
      <c r="K249">
        <v>6608</v>
      </c>
      <c r="L249">
        <v>0</v>
      </c>
      <c r="M249">
        <v>137000</v>
      </c>
      <c r="N249">
        <v>180</v>
      </c>
      <c r="O249">
        <v>1</v>
      </c>
      <c r="P249" t="s">
        <v>21</v>
      </c>
      <c r="Q249">
        <f t="shared" si="28"/>
        <v>1</v>
      </c>
      <c r="R249">
        <f t="shared" si="29"/>
        <v>0</v>
      </c>
      <c r="S249">
        <f t="shared" si="30"/>
        <v>0</v>
      </c>
      <c r="T249" t="s">
        <v>22</v>
      </c>
      <c r="U249">
        <f t="shared" si="31"/>
        <v>1</v>
      </c>
      <c r="V249">
        <v>8.7961876354704529</v>
      </c>
      <c r="W249">
        <v>0</v>
      </c>
      <c r="X249">
        <v>11.827736204810263</v>
      </c>
      <c r="Y249" t="s">
        <v>46</v>
      </c>
    </row>
    <row r="250" spans="1:25" x14ac:dyDescent="0.3">
      <c r="A250" t="s">
        <v>279</v>
      </c>
      <c r="B250" t="s">
        <v>18</v>
      </c>
      <c r="C250">
        <f t="shared" si="24"/>
        <v>1</v>
      </c>
      <c r="D250" t="s">
        <v>25</v>
      </c>
      <c r="E250">
        <f t="shared" si="25"/>
        <v>1</v>
      </c>
      <c r="F250">
        <v>1</v>
      </c>
      <c r="G250" t="s">
        <v>20</v>
      </c>
      <c r="H250">
        <f t="shared" si="26"/>
        <v>1</v>
      </c>
      <c r="I250" t="s">
        <v>19</v>
      </c>
      <c r="J250">
        <f t="shared" si="27"/>
        <v>0</v>
      </c>
      <c r="K250">
        <v>2882</v>
      </c>
      <c r="L250">
        <v>1843</v>
      </c>
      <c r="M250">
        <v>123000</v>
      </c>
      <c r="N250">
        <v>480</v>
      </c>
      <c r="O250">
        <v>1</v>
      </c>
      <c r="P250" t="s">
        <v>35</v>
      </c>
      <c r="Q250">
        <f t="shared" si="28"/>
        <v>0</v>
      </c>
      <c r="R250">
        <f t="shared" si="29"/>
        <v>1</v>
      </c>
      <c r="S250">
        <f t="shared" si="30"/>
        <v>0</v>
      </c>
      <c r="T250" t="s">
        <v>22</v>
      </c>
      <c r="U250">
        <f t="shared" si="31"/>
        <v>1</v>
      </c>
      <c r="V250">
        <v>7.9665866976384034</v>
      </c>
      <c r="W250">
        <v>7.5196924041165394</v>
      </c>
      <c r="X250">
        <v>11.719939634354555</v>
      </c>
      <c r="Y250" t="s">
        <v>23</v>
      </c>
    </row>
    <row r="251" spans="1:25" x14ac:dyDescent="0.3">
      <c r="A251" t="s">
        <v>280</v>
      </c>
      <c r="B251" t="s">
        <v>18</v>
      </c>
      <c r="C251">
        <f t="shared" si="24"/>
        <v>1</v>
      </c>
      <c r="D251" t="s">
        <v>25</v>
      </c>
      <c r="E251">
        <f t="shared" si="25"/>
        <v>1</v>
      </c>
      <c r="F251">
        <v>0</v>
      </c>
      <c r="G251" t="s">
        <v>20</v>
      </c>
      <c r="H251">
        <f t="shared" si="26"/>
        <v>1</v>
      </c>
      <c r="I251" t="s">
        <v>19</v>
      </c>
      <c r="J251">
        <f t="shared" si="27"/>
        <v>0</v>
      </c>
      <c r="K251">
        <v>1809</v>
      </c>
      <c r="L251">
        <v>1868</v>
      </c>
      <c r="M251">
        <v>90000</v>
      </c>
      <c r="N251">
        <v>360</v>
      </c>
      <c r="O251">
        <v>1</v>
      </c>
      <c r="P251" t="s">
        <v>21</v>
      </c>
      <c r="Q251">
        <f t="shared" si="28"/>
        <v>1</v>
      </c>
      <c r="R251">
        <f t="shared" si="29"/>
        <v>0</v>
      </c>
      <c r="S251">
        <f t="shared" si="30"/>
        <v>0</v>
      </c>
      <c r="T251" t="s">
        <v>22</v>
      </c>
      <c r="U251">
        <f t="shared" si="31"/>
        <v>1</v>
      </c>
      <c r="V251">
        <v>7.5010821242598711</v>
      </c>
      <c r="W251">
        <v>7.5331588074555631</v>
      </c>
      <c r="X251">
        <v>11.407564949312402</v>
      </c>
      <c r="Y251" t="s">
        <v>23</v>
      </c>
    </row>
    <row r="252" spans="1:25" x14ac:dyDescent="0.3">
      <c r="A252" t="s">
        <v>281</v>
      </c>
      <c r="B252" t="s">
        <v>18</v>
      </c>
      <c r="C252">
        <f t="shared" si="24"/>
        <v>1</v>
      </c>
      <c r="D252" t="s">
        <v>25</v>
      </c>
      <c r="E252">
        <f t="shared" si="25"/>
        <v>1</v>
      </c>
      <c r="F252">
        <v>0</v>
      </c>
      <c r="G252" t="s">
        <v>30</v>
      </c>
      <c r="H252">
        <f t="shared" si="26"/>
        <v>0</v>
      </c>
      <c r="I252" t="s">
        <v>19</v>
      </c>
      <c r="J252">
        <f t="shared" si="27"/>
        <v>0</v>
      </c>
      <c r="K252">
        <v>1668</v>
      </c>
      <c r="L252">
        <v>3890</v>
      </c>
      <c r="M252">
        <v>201000</v>
      </c>
      <c r="N252">
        <v>360</v>
      </c>
      <c r="O252">
        <v>0</v>
      </c>
      <c r="P252" t="s">
        <v>35</v>
      </c>
      <c r="Q252">
        <f t="shared" si="28"/>
        <v>0</v>
      </c>
      <c r="R252">
        <f t="shared" si="29"/>
        <v>1</v>
      </c>
      <c r="S252">
        <f t="shared" si="30"/>
        <v>0</v>
      </c>
      <c r="T252" t="s">
        <v>27</v>
      </c>
      <c r="U252">
        <f t="shared" si="31"/>
        <v>0</v>
      </c>
      <c r="V252">
        <v>7.4199799236618347</v>
      </c>
      <c r="W252">
        <v>8.266421472984554</v>
      </c>
      <c r="X252">
        <v>12.211060187041213</v>
      </c>
      <c r="Y252" t="s">
        <v>23</v>
      </c>
    </row>
    <row r="253" spans="1:25" x14ac:dyDescent="0.3">
      <c r="A253" t="s">
        <v>282</v>
      </c>
      <c r="B253" t="s">
        <v>48</v>
      </c>
      <c r="C253">
        <f t="shared" si="24"/>
        <v>0</v>
      </c>
      <c r="D253" t="s">
        <v>19</v>
      </c>
      <c r="E253">
        <f t="shared" si="25"/>
        <v>0</v>
      </c>
      <c r="F253">
        <v>2</v>
      </c>
      <c r="G253" t="s">
        <v>20</v>
      </c>
      <c r="H253">
        <f t="shared" si="26"/>
        <v>1</v>
      </c>
      <c r="I253" t="s">
        <v>19</v>
      </c>
      <c r="J253">
        <f t="shared" si="27"/>
        <v>0</v>
      </c>
      <c r="K253">
        <v>3427</v>
      </c>
      <c r="L253">
        <v>0</v>
      </c>
      <c r="M253">
        <v>138000</v>
      </c>
      <c r="N253">
        <v>360</v>
      </c>
      <c r="O253">
        <v>1</v>
      </c>
      <c r="P253" t="s">
        <v>21</v>
      </c>
      <c r="Q253">
        <f t="shared" si="28"/>
        <v>1</v>
      </c>
      <c r="R253">
        <f t="shared" si="29"/>
        <v>0</v>
      </c>
      <c r="S253">
        <f t="shared" si="30"/>
        <v>0</v>
      </c>
      <c r="T253" t="s">
        <v>27</v>
      </c>
      <c r="U253">
        <f t="shared" si="31"/>
        <v>0</v>
      </c>
      <c r="V253">
        <v>8.1397322797176699</v>
      </c>
      <c r="W253">
        <v>0</v>
      </c>
      <c r="X253">
        <v>11.835008964139341</v>
      </c>
      <c r="Y253" t="s">
        <v>23</v>
      </c>
    </row>
    <row r="254" spans="1:25" x14ac:dyDescent="0.3">
      <c r="A254" t="s">
        <v>283</v>
      </c>
      <c r="B254" t="s">
        <v>18</v>
      </c>
      <c r="C254">
        <f t="shared" si="24"/>
        <v>1</v>
      </c>
      <c r="D254" t="s">
        <v>19</v>
      </c>
      <c r="E254">
        <f t="shared" si="25"/>
        <v>0</v>
      </c>
      <c r="F254">
        <v>0</v>
      </c>
      <c r="G254" t="s">
        <v>30</v>
      </c>
      <c r="H254">
        <f t="shared" si="26"/>
        <v>0</v>
      </c>
      <c r="I254" t="s">
        <v>25</v>
      </c>
      <c r="J254">
        <f t="shared" si="27"/>
        <v>1</v>
      </c>
      <c r="K254">
        <v>2583</v>
      </c>
      <c r="L254">
        <v>2167</v>
      </c>
      <c r="M254">
        <v>104000</v>
      </c>
      <c r="N254">
        <v>360</v>
      </c>
      <c r="O254">
        <v>1</v>
      </c>
      <c r="P254" t="s">
        <v>26</v>
      </c>
      <c r="Q254">
        <f t="shared" si="28"/>
        <v>0</v>
      </c>
      <c r="R254">
        <f t="shared" si="29"/>
        <v>0</v>
      </c>
      <c r="S254">
        <f t="shared" si="30"/>
        <v>1</v>
      </c>
      <c r="T254" t="s">
        <v>22</v>
      </c>
      <c r="U254">
        <f t="shared" si="31"/>
        <v>1</v>
      </c>
      <c r="V254">
        <v>7.8570938649024926</v>
      </c>
      <c r="W254">
        <v>7.6815603625595372</v>
      </c>
      <c r="X254">
        <v>11.552146178123509</v>
      </c>
      <c r="Y254" t="s">
        <v>23</v>
      </c>
    </row>
    <row r="255" spans="1:25" x14ac:dyDescent="0.3">
      <c r="A255" t="s">
        <v>284</v>
      </c>
      <c r="B255" t="s">
        <v>18</v>
      </c>
      <c r="C255">
        <f t="shared" si="24"/>
        <v>1</v>
      </c>
      <c r="D255" t="s">
        <v>25</v>
      </c>
      <c r="E255">
        <f t="shared" si="25"/>
        <v>1</v>
      </c>
      <c r="F255">
        <v>1</v>
      </c>
      <c r="G255" t="s">
        <v>30</v>
      </c>
      <c r="H255">
        <f t="shared" si="26"/>
        <v>0</v>
      </c>
      <c r="I255" t="s">
        <v>19</v>
      </c>
      <c r="J255">
        <f t="shared" si="27"/>
        <v>0</v>
      </c>
      <c r="K255">
        <v>2661</v>
      </c>
      <c r="L255">
        <v>7101</v>
      </c>
      <c r="M255">
        <v>279000</v>
      </c>
      <c r="N255">
        <v>180</v>
      </c>
      <c r="O255">
        <v>1</v>
      </c>
      <c r="P255" t="s">
        <v>35</v>
      </c>
      <c r="Q255">
        <f t="shared" si="28"/>
        <v>0</v>
      </c>
      <c r="R255">
        <f t="shared" si="29"/>
        <v>1</v>
      </c>
      <c r="S255">
        <f t="shared" si="30"/>
        <v>0</v>
      </c>
      <c r="T255" t="s">
        <v>22</v>
      </c>
      <c r="U255">
        <f t="shared" si="31"/>
        <v>1</v>
      </c>
      <c r="V255">
        <v>7.8868329989550574</v>
      </c>
      <c r="W255">
        <v>8.8681317135030326</v>
      </c>
      <c r="X255">
        <v>12.538967060803502</v>
      </c>
      <c r="Y255" t="s">
        <v>46</v>
      </c>
    </row>
    <row r="256" spans="1:25" x14ac:dyDescent="0.3">
      <c r="A256" t="s">
        <v>285</v>
      </c>
      <c r="B256" t="s">
        <v>18</v>
      </c>
      <c r="C256">
        <f t="shared" si="24"/>
        <v>1</v>
      </c>
      <c r="D256" t="s">
        <v>19</v>
      </c>
      <c r="E256">
        <f t="shared" si="25"/>
        <v>0</v>
      </c>
      <c r="F256">
        <v>0</v>
      </c>
      <c r="G256" t="s">
        <v>20</v>
      </c>
      <c r="H256">
        <f t="shared" si="26"/>
        <v>1</v>
      </c>
      <c r="I256" t="s">
        <v>25</v>
      </c>
      <c r="J256">
        <f t="shared" si="27"/>
        <v>1</v>
      </c>
      <c r="K256">
        <v>16250</v>
      </c>
      <c r="L256">
        <v>0</v>
      </c>
      <c r="M256">
        <v>192000</v>
      </c>
      <c r="N256">
        <v>360</v>
      </c>
      <c r="O256">
        <v>0</v>
      </c>
      <c r="P256" t="s">
        <v>21</v>
      </c>
      <c r="Q256">
        <f t="shared" si="28"/>
        <v>1</v>
      </c>
      <c r="R256">
        <f t="shared" si="29"/>
        <v>0</v>
      </c>
      <c r="S256">
        <f t="shared" si="30"/>
        <v>0</v>
      </c>
      <c r="T256" t="s">
        <v>27</v>
      </c>
      <c r="U256">
        <f t="shared" si="31"/>
        <v>0</v>
      </c>
      <c r="V256">
        <v>9.6959097243260093</v>
      </c>
      <c r="W256">
        <v>0</v>
      </c>
      <c r="X256">
        <v>12.165250651009918</v>
      </c>
      <c r="Y256" t="s">
        <v>23</v>
      </c>
    </row>
    <row r="257" spans="1:25" x14ac:dyDescent="0.3">
      <c r="A257" t="s">
        <v>286</v>
      </c>
      <c r="B257" t="s">
        <v>48</v>
      </c>
      <c r="C257">
        <f t="shared" si="24"/>
        <v>0</v>
      </c>
      <c r="D257" t="s">
        <v>19</v>
      </c>
      <c r="E257">
        <f t="shared" si="25"/>
        <v>0</v>
      </c>
      <c r="F257">
        <v>3</v>
      </c>
      <c r="G257" t="s">
        <v>20</v>
      </c>
      <c r="H257">
        <f t="shared" si="26"/>
        <v>1</v>
      </c>
      <c r="I257" t="s">
        <v>19</v>
      </c>
      <c r="J257">
        <f t="shared" si="27"/>
        <v>0</v>
      </c>
      <c r="K257">
        <v>3083</v>
      </c>
      <c r="L257">
        <v>0</v>
      </c>
      <c r="M257">
        <v>255000</v>
      </c>
      <c r="N257">
        <v>360</v>
      </c>
      <c r="O257">
        <v>1</v>
      </c>
      <c r="P257" t="s">
        <v>26</v>
      </c>
      <c r="Q257">
        <f t="shared" si="28"/>
        <v>0</v>
      </c>
      <c r="R257">
        <f t="shared" si="29"/>
        <v>0</v>
      </c>
      <c r="S257">
        <f t="shared" si="30"/>
        <v>1</v>
      </c>
      <c r="T257" t="s">
        <v>22</v>
      </c>
      <c r="U257">
        <f t="shared" si="31"/>
        <v>1</v>
      </c>
      <c r="V257">
        <v>8.0339827346832209</v>
      </c>
      <c r="W257">
        <v>0</v>
      </c>
      <c r="X257">
        <v>12.449018824140563</v>
      </c>
      <c r="Y257" t="s">
        <v>23</v>
      </c>
    </row>
    <row r="258" spans="1:25" x14ac:dyDescent="0.3">
      <c r="A258" t="s">
        <v>287</v>
      </c>
      <c r="B258" t="s">
        <v>18</v>
      </c>
      <c r="C258">
        <f t="shared" si="24"/>
        <v>1</v>
      </c>
      <c r="D258" t="s">
        <v>19</v>
      </c>
      <c r="E258">
        <f t="shared" si="25"/>
        <v>0</v>
      </c>
      <c r="F258">
        <v>0</v>
      </c>
      <c r="G258" t="s">
        <v>30</v>
      </c>
      <c r="H258">
        <f t="shared" si="26"/>
        <v>0</v>
      </c>
      <c r="I258" t="s">
        <v>19</v>
      </c>
      <c r="J258">
        <f t="shared" si="27"/>
        <v>0</v>
      </c>
      <c r="K258">
        <v>6045</v>
      </c>
      <c r="L258">
        <v>0</v>
      </c>
      <c r="M258">
        <v>115000</v>
      </c>
      <c r="N258">
        <v>360</v>
      </c>
      <c r="O258">
        <v>0</v>
      </c>
      <c r="P258" t="s">
        <v>26</v>
      </c>
      <c r="Q258">
        <f t="shared" si="28"/>
        <v>0</v>
      </c>
      <c r="R258">
        <f t="shared" si="29"/>
        <v>0</v>
      </c>
      <c r="S258">
        <f t="shared" si="30"/>
        <v>1</v>
      </c>
      <c r="T258" t="s">
        <v>27</v>
      </c>
      <c r="U258">
        <f t="shared" si="31"/>
        <v>0</v>
      </c>
      <c r="V258">
        <v>8.7071521753394041</v>
      </c>
      <c r="W258">
        <v>0</v>
      </c>
      <c r="X258">
        <v>11.652687407345388</v>
      </c>
      <c r="Y258" t="s">
        <v>23</v>
      </c>
    </row>
    <row r="259" spans="1:25" x14ac:dyDescent="0.3">
      <c r="A259" t="s">
        <v>288</v>
      </c>
      <c r="B259" t="s">
        <v>18</v>
      </c>
      <c r="C259">
        <f t="shared" ref="C259:C322" si="32">IF(B259="Male",1,0)</f>
        <v>1</v>
      </c>
      <c r="D259" t="s">
        <v>25</v>
      </c>
      <c r="E259">
        <f t="shared" ref="E259:E322" si="33">IF(D259="No",0,1)</f>
        <v>1</v>
      </c>
      <c r="F259">
        <v>3</v>
      </c>
      <c r="G259" t="s">
        <v>20</v>
      </c>
      <c r="H259">
        <f t="shared" ref="H259:H322" si="34">IF(G259="Graduate",1,0)</f>
        <v>1</v>
      </c>
      <c r="I259" t="s">
        <v>19</v>
      </c>
      <c r="J259">
        <f t="shared" ref="J259:J322" si="35">IF(I259="No",0,1)</f>
        <v>0</v>
      </c>
      <c r="K259">
        <v>5250</v>
      </c>
      <c r="L259">
        <v>0</v>
      </c>
      <c r="M259">
        <v>94000</v>
      </c>
      <c r="N259">
        <v>360</v>
      </c>
      <c r="O259">
        <v>1</v>
      </c>
      <c r="P259" t="s">
        <v>21</v>
      </c>
      <c r="Q259">
        <f t="shared" ref="Q259:Q322" si="36">IF(P259="Urban",1,0)</f>
        <v>1</v>
      </c>
      <c r="R259">
        <f t="shared" ref="R259:R322" si="37">IF(P259="Semiurban",1,0)</f>
        <v>0</v>
      </c>
      <c r="S259">
        <f t="shared" ref="S259:S322" si="38">IF(P259="Rural",1,0)</f>
        <v>0</v>
      </c>
      <c r="T259" t="s">
        <v>27</v>
      </c>
      <c r="U259">
        <f t="shared" ref="U259:U322" si="39">IF(T259="Y",1,0)</f>
        <v>0</v>
      </c>
      <c r="V259">
        <v>8.5661738136378585</v>
      </c>
      <c r="W259">
        <v>0</v>
      </c>
      <c r="X259">
        <v>11.451050061252142</v>
      </c>
      <c r="Y259" t="s">
        <v>23</v>
      </c>
    </row>
    <row r="260" spans="1:25" x14ac:dyDescent="0.3">
      <c r="A260" t="s">
        <v>289</v>
      </c>
      <c r="B260" t="s">
        <v>18</v>
      </c>
      <c r="C260">
        <f t="shared" si="32"/>
        <v>1</v>
      </c>
      <c r="D260" t="s">
        <v>25</v>
      </c>
      <c r="E260">
        <f t="shared" si="33"/>
        <v>1</v>
      </c>
      <c r="F260">
        <v>0</v>
      </c>
      <c r="G260" t="s">
        <v>20</v>
      </c>
      <c r="H260">
        <f t="shared" si="34"/>
        <v>1</v>
      </c>
      <c r="I260" t="s">
        <v>19</v>
      </c>
      <c r="J260">
        <f t="shared" si="35"/>
        <v>0</v>
      </c>
      <c r="K260">
        <v>14683</v>
      </c>
      <c r="L260">
        <v>2100</v>
      </c>
      <c r="M260">
        <v>304000</v>
      </c>
      <c r="N260">
        <v>360</v>
      </c>
      <c r="O260">
        <v>1</v>
      </c>
      <c r="P260" t="s">
        <v>26</v>
      </c>
      <c r="Q260">
        <f t="shared" si="36"/>
        <v>0</v>
      </c>
      <c r="R260">
        <f t="shared" si="37"/>
        <v>0</v>
      </c>
      <c r="S260">
        <f t="shared" si="38"/>
        <v>1</v>
      </c>
      <c r="T260" t="s">
        <v>27</v>
      </c>
      <c r="U260">
        <f t="shared" si="39"/>
        <v>0</v>
      </c>
      <c r="V260">
        <v>9.5945137446167248</v>
      </c>
      <c r="W260">
        <v>7.6501687008450006</v>
      </c>
      <c r="X260">
        <v>12.624782980388359</v>
      </c>
      <c r="Y260" t="s">
        <v>23</v>
      </c>
    </row>
    <row r="261" spans="1:25" x14ac:dyDescent="0.3">
      <c r="A261" t="s">
        <v>290</v>
      </c>
      <c r="B261" t="s">
        <v>18</v>
      </c>
      <c r="C261">
        <f t="shared" si="32"/>
        <v>1</v>
      </c>
      <c r="D261" t="s">
        <v>25</v>
      </c>
      <c r="E261">
        <f t="shared" si="33"/>
        <v>1</v>
      </c>
      <c r="F261">
        <v>3</v>
      </c>
      <c r="G261" t="s">
        <v>30</v>
      </c>
      <c r="H261">
        <f t="shared" si="34"/>
        <v>0</v>
      </c>
      <c r="I261" t="s">
        <v>19</v>
      </c>
      <c r="J261">
        <f t="shared" si="35"/>
        <v>0</v>
      </c>
      <c r="K261">
        <v>4931</v>
      </c>
      <c r="L261">
        <v>0</v>
      </c>
      <c r="M261">
        <v>128000</v>
      </c>
      <c r="N261">
        <v>360</v>
      </c>
      <c r="O261">
        <v>1</v>
      </c>
      <c r="P261" t="s">
        <v>35</v>
      </c>
      <c r="Q261">
        <f t="shared" si="36"/>
        <v>0</v>
      </c>
      <c r="R261">
        <f t="shared" si="37"/>
        <v>1</v>
      </c>
      <c r="S261">
        <f t="shared" si="38"/>
        <v>0</v>
      </c>
      <c r="T261" t="s">
        <v>27</v>
      </c>
      <c r="U261">
        <f t="shared" si="39"/>
        <v>0</v>
      </c>
      <c r="V261">
        <v>8.503499864284235</v>
      </c>
      <c r="W261">
        <v>0</v>
      </c>
      <c r="X261">
        <v>11.759785542901755</v>
      </c>
      <c r="Y261" t="s">
        <v>23</v>
      </c>
    </row>
    <row r="262" spans="1:25" x14ac:dyDescent="0.3">
      <c r="A262" t="s">
        <v>291</v>
      </c>
      <c r="B262" t="s">
        <v>18</v>
      </c>
      <c r="C262">
        <f t="shared" si="32"/>
        <v>1</v>
      </c>
      <c r="D262" t="s">
        <v>25</v>
      </c>
      <c r="E262">
        <f t="shared" si="33"/>
        <v>1</v>
      </c>
      <c r="F262">
        <v>1</v>
      </c>
      <c r="G262" t="s">
        <v>20</v>
      </c>
      <c r="H262">
        <f t="shared" si="34"/>
        <v>1</v>
      </c>
      <c r="I262" t="s">
        <v>19</v>
      </c>
      <c r="J262">
        <f t="shared" si="35"/>
        <v>0</v>
      </c>
      <c r="K262">
        <v>6083</v>
      </c>
      <c r="L262">
        <v>4250</v>
      </c>
      <c r="M262">
        <v>330000</v>
      </c>
      <c r="N262">
        <v>360</v>
      </c>
      <c r="O262">
        <v>1</v>
      </c>
      <c r="P262" t="s">
        <v>21</v>
      </c>
      <c r="Q262">
        <f t="shared" si="36"/>
        <v>1</v>
      </c>
      <c r="R262">
        <f t="shared" si="37"/>
        <v>0</v>
      </c>
      <c r="S262">
        <f t="shared" si="38"/>
        <v>0</v>
      </c>
      <c r="T262" t="s">
        <v>22</v>
      </c>
      <c r="U262">
        <f t="shared" si="39"/>
        <v>1</v>
      </c>
      <c r="V262">
        <v>8.7134176533791834</v>
      </c>
      <c r="W262">
        <v>8.3549095283587906</v>
      </c>
      <c r="X262">
        <v>12.706847933442663</v>
      </c>
      <c r="Y262" t="s">
        <v>23</v>
      </c>
    </row>
    <row r="263" spans="1:25" x14ac:dyDescent="0.3">
      <c r="A263" t="s">
        <v>292</v>
      </c>
      <c r="B263" t="s">
        <v>18</v>
      </c>
      <c r="C263">
        <f t="shared" si="32"/>
        <v>1</v>
      </c>
      <c r="D263" t="s">
        <v>19</v>
      </c>
      <c r="E263">
        <f t="shared" si="33"/>
        <v>0</v>
      </c>
      <c r="F263">
        <v>0</v>
      </c>
      <c r="G263" t="s">
        <v>20</v>
      </c>
      <c r="H263">
        <f t="shared" si="34"/>
        <v>1</v>
      </c>
      <c r="I263" t="s">
        <v>19</v>
      </c>
      <c r="J263">
        <f t="shared" si="35"/>
        <v>0</v>
      </c>
      <c r="K263">
        <v>2060</v>
      </c>
      <c r="L263">
        <v>2209</v>
      </c>
      <c r="M263">
        <v>134000</v>
      </c>
      <c r="N263">
        <v>360</v>
      </c>
      <c r="O263">
        <v>1</v>
      </c>
      <c r="P263" t="s">
        <v>35</v>
      </c>
      <c r="Q263">
        <f t="shared" si="36"/>
        <v>0</v>
      </c>
      <c r="R263">
        <f t="shared" si="37"/>
        <v>1</v>
      </c>
      <c r="S263">
        <f t="shared" si="38"/>
        <v>0</v>
      </c>
      <c r="T263" t="s">
        <v>22</v>
      </c>
      <c r="U263">
        <f t="shared" si="39"/>
        <v>1</v>
      </c>
      <c r="V263">
        <v>7.6309465808904591</v>
      </c>
      <c r="W263">
        <v>7.7007477945117984</v>
      </c>
      <c r="X263">
        <v>11.805595078933049</v>
      </c>
      <c r="Y263" t="s">
        <v>23</v>
      </c>
    </row>
    <row r="264" spans="1:25" x14ac:dyDescent="0.3">
      <c r="A264" t="s">
        <v>293</v>
      </c>
      <c r="B264" t="s">
        <v>48</v>
      </c>
      <c r="C264">
        <f t="shared" si="32"/>
        <v>0</v>
      </c>
      <c r="D264" t="s">
        <v>19</v>
      </c>
      <c r="E264">
        <f t="shared" si="33"/>
        <v>0</v>
      </c>
      <c r="F264">
        <v>1</v>
      </c>
      <c r="G264" t="s">
        <v>20</v>
      </c>
      <c r="H264">
        <f t="shared" si="34"/>
        <v>1</v>
      </c>
      <c r="I264" t="s">
        <v>19</v>
      </c>
      <c r="J264">
        <f t="shared" si="35"/>
        <v>0</v>
      </c>
      <c r="K264">
        <v>3481</v>
      </c>
      <c r="L264">
        <v>0</v>
      </c>
      <c r="M264">
        <v>155000</v>
      </c>
      <c r="N264">
        <v>36</v>
      </c>
      <c r="O264">
        <v>1</v>
      </c>
      <c r="P264" t="s">
        <v>35</v>
      </c>
      <c r="Q264">
        <f t="shared" si="36"/>
        <v>0</v>
      </c>
      <c r="R264">
        <f t="shared" si="37"/>
        <v>1</v>
      </c>
      <c r="S264">
        <f t="shared" si="38"/>
        <v>0</v>
      </c>
      <c r="T264" t="s">
        <v>27</v>
      </c>
      <c r="U264">
        <f t="shared" si="39"/>
        <v>0</v>
      </c>
      <c r="V264">
        <v>8.1553621203281352</v>
      </c>
      <c r="W264">
        <v>0</v>
      </c>
      <c r="X264">
        <v>11.951180395901384</v>
      </c>
      <c r="Y264" t="s">
        <v>43</v>
      </c>
    </row>
    <row r="265" spans="1:25" x14ac:dyDescent="0.3">
      <c r="A265" t="s">
        <v>294</v>
      </c>
      <c r="B265" t="s">
        <v>48</v>
      </c>
      <c r="C265">
        <f t="shared" si="32"/>
        <v>0</v>
      </c>
      <c r="D265" t="s">
        <v>19</v>
      </c>
      <c r="E265">
        <f t="shared" si="33"/>
        <v>0</v>
      </c>
      <c r="F265">
        <v>0</v>
      </c>
      <c r="G265" t="s">
        <v>20</v>
      </c>
      <c r="H265">
        <f t="shared" si="34"/>
        <v>1</v>
      </c>
      <c r="I265" t="s">
        <v>19</v>
      </c>
      <c r="J265">
        <f t="shared" si="35"/>
        <v>0</v>
      </c>
      <c r="K265">
        <v>7200</v>
      </c>
      <c r="L265">
        <v>0</v>
      </c>
      <c r="M265">
        <v>120000</v>
      </c>
      <c r="N265">
        <v>360</v>
      </c>
      <c r="O265">
        <v>1</v>
      </c>
      <c r="P265" t="s">
        <v>26</v>
      </c>
      <c r="Q265">
        <f t="shared" si="36"/>
        <v>0</v>
      </c>
      <c r="R265">
        <f t="shared" si="37"/>
        <v>0</v>
      </c>
      <c r="S265">
        <f t="shared" si="38"/>
        <v>1</v>
      </c>
      <c r="T265" t="s">
        <v>22</v>
      </c>
      <c r="U265">
        <f t="shared" si="39"/>
        <v>1</v>
      </c>
      <c r="V265">
        <v>8.8819751842488674</v>
      </c>
      <c r="W265">
        <v>0</v>
      </c>
      <c r="X265">
        <v>11.695247021764184</v>
      </c>
      <c r="Y265" t="s">
        <v>23</v>
      </c>
    </row>
    <row r="266" spans="1:25" x14ac:dyDescent="0.3">
      <c r="A266" t="s">
        <v>295</v>
      </c>
      <c r="B266" t="s">
        <v>18</v>
      </c>
      <c r="C266">
        <f t="shared" si="32"/>
        <v>1</v>
      </c>
      <c r="D266" t="s">
        <v>19</v>
      </c>
      <c r="E266">
        <f t="shared" si="33"/>
        <v>0</v>
      </c>
      <c r="F266">
        <v>0</v>
      </c>
      <c r="G266" t="s">
        <v>20</v>
      </c>
      <c r="H266">
        <f t="shared" si="34"/>
        <v>1</v>
      </c>
      <c r="I266" t="s">
        <v>25</v>
      </c>
      <c r="J266">
        <f t="shared" si="35"/>
        <v>1</v>
      </c>
      <c r="K266">
        <v>5166</v>
      </c>
      <c r="L266">
        <v>0</v>
      </c>
      <c r="M266">
        <v>128000</v>
      </c>
      <c r="N266">
        <v>360</v>
      </c>
      <c r="O266">
        <v>1</v>
      </c>
      <c r="P266" t="s">
        <v>35</v>
      </c>
      <c r="Q266">
        <f t="shared" si="36"/>
        <v>0</v>
      </c>
      <c r="R266">
        <f t="shared" si="37"/>
        <v>1</v>
      </c>
      <c r="S266">
        <f t="shared" si="38"/>
        <v>0</v>
      </c>
      <c r="T266" t="s">
        <v>22</v>
      </c>
      <c r="U266">
        <f t="shared" si="39"/>
        <v>1</v>
      </c>
      <c r="V266">
        <v>8.550047528287184</v>
      </c>
      <c r="W266">
        <v>0</v>
      </c>
      <c r="X266">
        <v>11.759785542901755</v>
      </c>
      <c r="Y266" t="s">
        <v>23</v>
      </c>
    </row>
    <row r="267" spans="1:25" x14ac:dyDescent="0.3">
      <c r="A267" t="s">
        <v>296</v>
      </c>
      <c r="B267" t="s">
        <v>18</v>
      </c>
      <c r="C267">
        <f t="shared" si="32"/>
        <v>1</v>
      </c>
      <c r="D267" t="s">
        <v>19</v>
      </c>
      <c r="E267">
        <f t="shared" si="33"/>
        <v>0</v>
      </c>
      <c r="F267">
        <v>0</v>
      </c>
      <c r="G267" t="s">
        <v>20</v>
      </c>
      <c r="H267">
        <f t="shared" si="34"/>
        <v>1</v>
      </c>
      <c r="I267" t="s">
        <v>19</v>
      </c>
      <c r="J267">
        <f t="shared" si="35"/>
        <v>0</v>
      </c>
      <c r="K267">
        <v>4095</v>
      </c>
      <c r="L267">
        <v>3447</v>
      </c>
      <c r="M267">
        <v>151000</v>
      </c>
      <c r="N267">
        <v>360</v>
      </c>
      <c r="O267">
        <v>1</v>
      </c>
      <c r="P267" t="s">
        <v>26</v>
      </c>
      <c r="Q267">
        <f t="shared" si="36"/>
        <v>0</v>
      </c>
      <c r="R267">
        <f t="shared" si="37"/>
        <v>0</v>
      </c>
      <c r="S267">
        <f t="shared" si="38"/>
        <v>1</v>
      </c>
      <c r="T267" t="s">
        <v>22</v>
      </c>
      <c r="U267">
        <f t="shared" si="39"/>
        <v>1</v>
      </c>
      <c r="V267">
        <v>8.317766166719343</v>
      </c>
      <c r="W267">
        <v>8.1455496317835845</v>
      </c>
      <c r="X267">
        <v>11.925035115797062</v>
      </c>
      <c r="Y267" t="s">
        <v>23</v>
      </c>
    </row>
    <row r="268" spans="1:25" x14ac:dyDescent="0.3">
      <c r="A268" t="s">
        <v>297</v>
      </c>
      <c r="B268" t="s">
        <v>18</v>
      </c>
      <c r="C268">
        <f t="shared" si="32"/>
        <v>1</v>
      </c>
      <c r="D268" t="s">
        <v>25</v>
      </c>
      <c r="E268">
        <f t="shared" si="33"/>
        <v>1</v>
      </c>
      <c r="F268">
        <v>2</v>
      </c>
      <c r="G268" t="s">
        <v>20</v>
      </c>
      <c r="H268">
        <f t="shared" si="34"/>
        <v>1</v>
      </c>
      <c r="I268" t="s">
        <v>19</v>
      </c>
      <c r="J268">
        <f t="shared" si="35"/>
        <v>0</v>
      </c>
      <c r="K268">
        <v>4708</v>
      </c>
      <c r="L268">
        <v>1387</v>
      </c>
      <c r="M268">
        <v>150000</v>
      </c>
      <c r="N268">
        <v>360</v>
      </c>
      <c r="O268">
        <v>1</v>
      </c>
      <c r="P268" t="s">
        <v>35</v>
      </c>
      <c r="Q268">
        <f t="shared" si="36"/>
        <v>0</v>
      </c>
      <c r="R268">
        <f t="shared" si="37"/>
        <v>1</v>
      </c>
      <c r="S268">
        <f t="shared" si="38"/>
        <v>0</v>
      </c>
      <c r="T268" t="s">
        <v>22</v>
      </c>
      <c r="U268">
        <f t="shared" si="39"/>
        <v>1</v>
      </c>
      <c r="V268">
        <v>8.4572308502435547</v>
      </c>
      <c r="W268">
        <v>7.2356191410667501</v>
      </c>
      <c r="X268">
        <v>11.918390573078392</v>
      </c>
      <c r="Y268" t="s">
        <v>23</v>
      </c>
    </row>
    <row r="269" spans="1:25" x14ac:dyDescent="0.3">
      <c r="A269" t="s">
        <v>298</v>
      </c>
      <c r="B269" t="s">
        <v>18</v>
      </c>
      <c r="C269">
        <f t="shared" si="32"/>
        <v>1</v>
      </c>
      <c r="D269" t="s">
        <v>25</v>
      </c>
      <c r="E269">
        <f t="shared" si="33"/>
        <v>1</v>
      </c>
      <c r="F269">
        <v>3</v>
      </c>
      <c r="G269" t="s">
        <v>20</v>
      </c>
      <c r="H269">
        <f t="shared" si="34"/>
        <v>1</v>
      </c>
      <c r="I269" t="s">
        <v>19</v>
      </c>
      <c r="J269">
        <f t="shared" si="35"/>
        <v>0</v>
      </c>
      <c r="K269">
        <v>4333</v>
      </c>
      <c r="L269">
        <v>1811</v>
      </c>
      <c r="M269">
        <v>160000</v>
      </c>
      <c r="N269">
        <v>360</v>
      </c>
      <c r="O269">
        <v>0</v>
      </c>
      <c r="P269" t="s">
        <v>21</v>
      </c>
      <c r="Q269">
        <f t="shared" si="36"/>
        <v>1</v>
      </c>
      <c r="R269">
        <f t="shared" si="37"/>
        <v>0</v>
      </c>
      <c r="S269">
        <f t="shared" si="38"/>
        <v>0</v>
      </c>
      <c r="T269" t="s">
        <v>22</v>
      </c>
      <c r="U269">
        <f t="shared" si="39"/>
        <v>1</v>
      </c>
      <c r="V269">
        <v>8.3742461820963037</v>
      </c>
      <c r="W269">
        <v>7.5021864866029251</v>
      </c>
      <c r="X269">
        <v>11.982929094215963</v>
      </c>
      <c r="Y269" t="s">
        <v>23</v>
      </c>
    </row>
    <row r="270" spans="1:25" x14ac:dyDescent="0.3">
      <c r="A270" t="s">
        <v>299</v>
      </c>
      <c r="B270" t="s">
        <v>48</v>
      </c>
      <c r="C270">
        <f t="shared" si="32"/>
        <v>0</v>
      </c>
      <c r="D270" t="s">
        <v>19</v>
      </c>
      <c r="E270">
        <f t="shared" si="33"/>
        <v>0</v>
      </c>
      <c r="F270">
        <v>0</v>
      </c>
      <c r="G270" t="s">
        <v>20</v>
      </c>
      <c r="H270">
        <f t="shared" si="34"/>
        <v>1</v>
      </c>
      <c r="I270" t="s">
        <v>19</v>
      </c>
      <c r="J270">
        <f t="shared" si="35"/>
        <v>0</v>
      </c>
      <c r="K270">
        <v>3418</v>
      </c>
      <c r="L270">
        <v>0</v>
      </c>
      <c r="M270">
        <v>135000</v>
      </c>
      <c r="N270">
        <v>360</v>
      </c>
      <c r="O270">
        <v>1</v>
      </c>
      <c r="P270" t="s">
        <v>26</v>
      </c>
      <c r="Q270">
        <f t="shared" si="36"/>
        <v>0</v>
      </c>
      <c r="R270">
        <f t="shared" si="37"/>
        <v>0</v>
      </c>
      <c r="S270">
        <f t="shared" si="38"/>
        <v>1</v>
      </c>
      <c r="T270" t="s">
        <v>27</v>
      </c>
      <c r="U270">
        <f t="shared" si="39"/>
        <v>0</v>
      </c>
      <c r="V270">
        <v>8.1371033896393019</v>
      </c>
      <c r="W270">
        <v>0</v>
      </c>
      <c r="X270">
        <v>11.813030057420567</v>
      </c>
      <c r="Y270" t="s">
        <v>23</v>
      </c>
    </row>
    <row r="271" spans="1:25" x14ac:dyDescent="0.3">
      <c r="A271" t="s">
        <v>300</v>
      </c>
      <c r="B271" t="s">
        <v>48</v>
      </c>
      <c r="C271">
        <f t="shared" si="32"/>
        <v>0</v>
      </c>
      <c r="D271" t="s">
        <v>19</v>
      </c>
      <c r="E271">
        <f t="shared" si="33"/>
        <v>0</v>
      </c>
      <c r="F271">
        <v>1</v>
      </c>
      <c r="G271" t="s">
        <v>20</v>
      </c>
      <c r="H271">
        <f t="shared" si="34"/>
        <v>1</v>
      </c>
      <c r="I271" t="s">
        <v>19</v>
      </c>
      <c r="J271">
        <f t="shared" si="35"/>
        <v>0</v>
      </c>
      <c r="K271">
        <v>2876</v>
      </c>
      <c r="L271">
        <v>1560</v>
      </c>
      <c r="M271">
        <v>90000</v>
      </c>
      <c r="N271">
        <v>360</v>
      </c>
      <c r="O271">
        <v>1</v>
      </c>
      <c r="P271" t="s">
        <v>21</v>
      </c>
      <c r="Q271">
        <f t="shared" si="36"/>
        <v>1</v>
      </c>
      <c r="R271">
        <f t="shared" si="37"/>
        <v>0</v>
      </c>
      <c r="S271">
        <f t="shared" si="38"/>
        <v>0</v>
      </c>
      <c r="T271" t="s">
        <v>22</v>
      </c>
      <c r="U271">
        <f t="shared" si="39"/>
        <v>1</v>
      </c>
      <c r="V271">
        <v>7.9645033635515476</v>
      </c>
      <c r="W271">
        <v>7.3530819205154323</v>
      </c>
      <c r="X271">
        <v>11.407564949312402</v>
      </c>
      <c r="Y271" t="s">
        <v>23</v>
      </c>
    </row>
    <row r="272" spans="1:25" x14ac:dyDescent="0.3">
      <c r="A272" t="s">
        <v>301</v>
      </c>
      <c r="B272" t="s">
        <v>48</v>
      </c>
      <c r="C272">
        <f t="shared" si="32"/>
        <v>0</v>
      </c>
      <c r="D272" t="s">
        <v>19</v>
      </c>
      <c r="E272">
        <f t="shared" si="33"/>
        <v>0</v>
      </c>
      <c r="F272">
        <v>0</v>
      </c>
      <c r="G272" t="s">
        <v>20</v>
      </c>
      <c r="H272">
        <f t="shared" si="34"/>
        <v>1</v>
      </c>
      <c r="I272" t="s">
        <v>19</v>
      </c>
      <c r="J272">
        <f t="shared" si="35"/>
        <v>0</v>
      </c>
      <c r="K272">
        <v>3237</v>
      </c>
      <c r="L272">
        <v>0</v>
      </c>
      <c r="M272">
        <v>30000</v>
      </c>
      <c r="N272">
        <v>360</v>
      </c>
      <c r="O272">
        <v>1</v>
      </c>
      <c r="P272" t="s">
        <v>21</v>
      </c>
      <c r="Q272">
        <f t="shared" si="36"/>
        <v>1</v>
      </c>
      <c r="R272">
        <f t="shared" si="37"/>
        <v>0</v>
      </c>
      <c r="S272">
        <f t="shared" si="38"/>
        <v>0</v>
      </c>
      <c r="T272" t="s">
        <v>22</v>
      </c>
      <c r="U272">
        <f t="shared" si="39"/>
        <v>1</v>
      </c>
      <c r="V272">
        <v>8.0827111342375808</v>
      </c>
      <c r="W272">
        <v>0</v>
      </c>
      <c r="X272">
        <v>10.308952660644293</v>
      </c>
      <c r="Y272" t="s">
        <v>23</v>
      </c>
    </row>
    <row r="273" spans="1:25" x14ac:dyDescent="0.3">
      <c r="A273" t="s">
        <v>302</v>
      </c>
      <c r="B273" t="s">
        <v>18</v>
      </c>
      <c r="C273">
        <f t="shared" si="32"/>
        <v>1</v>
      </c>
      <c r="D273" t="s">
        <v>25</v>
      </c>
      <c r="E273">
        <f t="shared" si="33"/>
        <v>1</v>
      </c>
      <c r="F273">
        <v>0</v>
      </c>
      <c r="G273" t="s">
        <v>20</v>
      </c>
      <c r="H273">
        <f t="shared" si="34"/>
        <v>1</v>
      </c>
      <c r="I273" t="s">
        <v>19</v>
      </c>
      <c r="J273">
        <f t="shared" si="35"/>
        <v>0</v>
      </c>
      <c r="K273">
        <v>11146</v>
      </c>
      <c r="L273">
        <v>0</v>
      </c>
      <c r="M273">
        <v>136000</v>
      </c>
      <c r="N273">
        <v>360</v>
      </c>
      <c r="O273">
        <v>1</v>
      </c>
      <c r="P273" t="s">
        <v>21</v>
      </c>
      <c r="Q273">
        <f t="shared" si="36"/>
        <v>1</v>
      </c>
      <c r="R273">
        <f t="shared" si="37"/>
        <v>0</v>
      </c>
      <c r="S273">
        <f t="shared" si="38"/>
        <v>0</v>
      </c>
      <c r="T273" t="s">
        <v>22</v>
      </c>
      <c r="U273">
        <f t="shared" si="39"/>
        <v>1</v>
      </c>
      <c r="V273">
        <v>9.318925682389624</v>
      </c>
      <c r="W273">
        <v>0</v>
      </c>
      <c r="X273">
        <v>11.820410164718188</v>
      </c>
      <c r="Y273" t="s">
        <v>23</v>
      </c>
    </row>
    <row r="274" spans="1:25" x14ac:dyDescent="0.3">
      <c r="A274" t="s">
        <v>303</v>
      </c>
      <c r="B274" t="s">
        <v>18</v>
      </c>
      <c r="C274">
        <f t="shared" si="32"/>
        <v>1</v>
      </c>
      <c r="D274" t="s">
        <v>19</v>
      </c>
      <c r="E274">
        <f t="shared" si="33"/>
        <v>0</v>
      </c>
      <c r="F274">
        <v>0</v>
      </c>
      <c r="G274" t="s">
        <v>20</v>
      </c>
      <c r="H274">
        <f t="shared" si="34"/>
        <v>1</v>
      </c>
      <c r="I274" t="s">
        <v>19</v>
      </c>
      <c r="J274">
        <f t="shared" si="35"/>
        <v>0</v>
      </c>
      <c r="K274">
        <v>2833</v>
      </c>
      <c r="L274">
        <v>1857</v>
      </c>
      <c r="M274">
        <v>126000</v>
      </c>
      <c r="N274">
        <v>360</v>
      </c>
      <c r="O274">
        <v>1</v>
      </c>
      <c r="P274" t="s">
        <v>26</v>
      </c>
      <c r="Q274">
        <f t="shared" si="36"/>
        <v>0</v>
      </c>
      <c r="R274">
        <f t="shared" si="37"/>
        <v>0</v>
      </c>
      <c r="S274">
        <f t="shared" si="38"/>
        <v>1</v>
      </c>
      <c r="T274" t="s">
        <v>22</v>
      </c>
      <c r="U274">
        <f t="shared" si="39"/>
        <v>1</v>
      </c>
      <c r="V274">
        <v>7.949444420250626</v>
      </c>
      <c r="W274">
        <v>7.5272559193737836</v>
      </c>
      <c r="X274">
        <v>11.744037185933616</v>
      </c>
      <c r="Y274" t="s">
        <v>23</v>
      </c>
    </row>
    <row r="275" spans="1:25" x14ac:dyDescent="0.3">
      <c r="A275" t="s">
        <v>304</v>
      </c>
      <c r="B275" t="s">
        <v>18</v>
      </c>
      <c r="C275">
        <f t="shared" si="32"/>
        <v>1</v>
      </c>
      <c r="D275" t="s">
        <v>25</v>
      </c>
      <c r="E275">
        <f t="shared" si="33"/>
        <v>1</v>
      </c>
      <c r="F275">
        <v>0</v>
      </c>
      <c r="G275" t="s">
        <v>20</v>
      </c>
      <c r="H275">
        <f t="shared" si="34"/>
        <v>1</v>
      </c>
      <c r="I275" t="s">
        <v>19</v>
      </c>
      <c r="J275">
        <f t="shared" si="35"/>
        <v>0</v>
      </c>
      <c r="K275">
        <v>2620</v>
      </c>
      <c r="L275">
        <v>2223</v>
      </c>
      <c r="M275">
        <v>150000</v>
      </c>
      <c r="N275">
        <v>360</v>
      </c>
      <c r="O275">
        <v>1</v>
      </c>
      <c r="P275" t="s">
        <v>35</v>
      </c>
      <c r="Q275">
        <f t="shared" si="36"/>
        <v>0</v>
      </c>
      <c r="R275">
        <f t="shared" si="37"/>
        <v>1</v>
      </c>
      <c r="S275">
        <f t="shared" si="38"/>
        <v>0</v>
      </c>
      <c r="T275" t="s">
        <v>22</v>
      </c>
      <c r="U275">
        <f t="shared" si="39"/>
        <v>1</v>
      </c>
      <c r="V275">
        <v>7.8713112033234074</v>
      </c>
      <c r="W275">
        <v>7.7070626553704731</v>
      </c>
      <c r="X275">
        <v>11.918390573078392</v>
      </c>
      <c r="Y275" t="s">
        <v>23</v>
      </c>
    </row>
    <row r="276" spans="1:25" x14ac:dyDescent="0.3">
      <c r="A276" t="s">
        <v>305</v>
      </c>
      <c r="B276" t="s">
        <v>18</v>
      </c>
      <c r="C276">
        <f t="shared" si="32"/>
        <v>1</v>
      </c>
      <c r="D276" t="s">
        <v>25</v>
      </c>
      <c r="E276">
        <f t="shared" si="33"/>
        <v>1</v>
      </c>
      <c r="F276">
        <v>2</v>
      </c>
      <c r="G276" t="s">
        <v>20</v>
      </c>
      <c r="H276">
        <f t="shared" si="34"/>
        <v>1</v>
      </c>
      <c r="I276" t="s">
        <v>19</v>
      </c>
      <c r="J276">
        <f t="shared" si="35"/>
        <v>0</v>
      </c>
      <c r="K276">
        <v>3900</v>
      </c>
      <c r="L276">
        <v>0</v>
      </c>
      <c r="M276">
        <v>90000</v>
      </c>
      <c r="N276">
        <v>360</v>
      </c>
      <c r="O276">
        <v>1</v>
      </c>
      <c r="P276" t="s">
        <v>35</v>
      </c>
      <c r="Q276">
        <f t="shared" si="36"/>
        <v>0</v>
      </c>
      <c r="R276">
        <f t="shared" si="37"/>
        <v>1</v>
      </c>
      <c r="S276">
        <f t="shared" si="38"/>
        <v>0</v>
      </c>
      <c r="T276" t="s">
        <v>22</v>
      </c>
      <c r="U276">
        <f t="shared" si="39"/>
        <v>1</v>
      </c>
      <c r="V276">
        <v>8.2689882095066558</v>
      </c>
      <c r="W276">
        <v>0</v>
      </c>
      <c r="X276">
        <v>11.407564949312402</v>
      </c>
      <c r="Y276" t="s">
        <v>23</v>
      </c>
    </row>
    <row r="277" spans="1:25" x14ac:dyDescent="0.3">
      <c r="A277" t="s">
        <v>306</v>
      </c>
      <c r="B277" t="s">
        <v>18</v>
      </c>
      <c r="C277">
        <f t="shared" si="32"/>
        <v>1</v>
      </c>
      <c r="D277" t="s">
        <v>25</v>
      </c>
      <c r="E277">
        <f t="shared" si="33"/>
        <v>1</v>
      </c>
      <c r="F277">
        <v>1</v>
      </c>
      <c r="G277" t="s">
        <v>20</v>
      </c>
      <c r="H277">
        <f t="shared" si="34"/>
        <v>1</v>
      </c>
      <c r="I277" t="s">
        <v>19</v>
      </c>
      <c r="J277">
        <f t="shared" si="35"/>
        <v>0</v>
      </c>
      <c r="K277">
        <v>2750</v>
      </c>
      <c r="L277">
        <v>1842</v>
      </c>
      <c r="M277">
        <v>115000</v>
      </c>
      <c r="N277">
        <v>360</v>
      </c>
      <c r="O277">
        <v>1</v>
      </c>
      <c r="P277" t="s">
        <v>35</v>
      </c>
      <c r="Q277">
        <f t="shared" si="36"/>
        <v>0</v>
      </c>
      <c r="R277">
        <f t="shared" si="37"/>
        <v>1</v>
      </c>
      <c r="S277">
        <f t="shared" si="38"/>
        <v>0</v>
      </c>
      <c r="T277" t="s">
        <v>22</v>
      </c>
      <c r="U277">
        <f t="shared" si="39"/>
        <v>1</v>
      </c>
      <c r="V277">
        <v>7.9197197609245746</v>
      </c>
      <c r="W277">
        <v>7.5191499576698231</v>
      </c>
      <c r="X277">
        <v>11.652687407345388</v>
      </c>
      <c r="Y277" t="s">
        <v>23</v>
      </c>
    </row>
    <row r="278" spans="1:25" x14ac:dyDescent="0.3">
      <c r="A278" t="s">
        <v>307</v>
      </c>
      <c r="B278" t="s">
        <v>18</v>
      </c>
      <c r="C278">
        <f t="shared" si="32"/>
        <v>1</v>
      </c>
      <c r="D278" t="s">
        <v>25</v>
      </c>
      <c r="E278">
        <f t="shared" si="33"/>
        <v>1</v>
      </c>
      <c r="F278">
        <v>0</v>
      </c>
      <c r="G278" t="s">
        <v>20</v>
      </c>
      <c r="H278">
        <f t="shared" si="34"/>
        <v>1</v>
      </c>
      <c r="I278" t="s">
        <v>19</v>
      </c>
      <c r="J278">
        <f t="shared" si="35"/>
        <v>0</v>
      </c>
      <c r="K278">
        <v>3993</v>
      </c>
      <c r="L278">
        <v>3274</v>
      </c>
      <c r="M278">
        <v>207000</v>
      </c>
      <c r="N278">
        <v>360</v>
      </c>
      <c r="O278">
        <v>1</v>
      </c>
      <c r="P278" t="s">
        <v>35</v>
      </c>
      <c r="Q278">
        <f t="shared" si="36"/>
        <v>0</v>
      </c>
      <c r="R278">
        <f t="shared" si="37"/>
        <v>1</v>
      </c>
      <c r="S278">
        <f t="shared" si="38"/>
        <v>0</v>
      </c>
      <c r="T278" t="s">
        <v>22</v>
      </c>
      <c r="U278">
        <f t="shared" si="39"/>
        <v>1</v>
      </c>
      <c r="V278">
        <v>8.2925485139757598</v>
      </c>
      <c r="W278">
        <v>8.0940731480693522</v>
      </c>
      <c r="X278">
        <v>12.240474072247506</v>
      </c>
      <c r="Y278" t="s">
        <v>23</v>
      </c>
    </row>
    <row r="279" spans="1:25" x14ac:dyDescent="0.3">
      <c r="A279" t="s">
        <v>308</v>
      </c>
      <c r="B279" t="s">
        <v>18</v>
      </c>
      <c r="C279">
        <f t="shared" si="32"/>
        <v>1</v>
      </c>
      <c r="D279" t="s">
        <v>25</v>
      </c>
      <c r="E279">
        <f t="shared" si="33"/>
        <v>1</v>
      </c>
      <c r="F279">
        <v>0</v>
      </c>
      <c r="G279" t="s">
        <v>20</v>
      </c>
      <c r="H279">
        <f t="shared" si="34"/>
        <v>1</v>
      </c>
      <c r="I279" t="s">
        <v>19</v>
      </c>
      <c r="J279">
        <f t="shared" si="35"/>
        <v>0</v>
      </c>
      <c r="K279">
        <v>3103</v>
      </c>
      <c r="L279">
        <v>1300</v>
      </c>
      <c r="M279">
        <v>80000</v>
      </c>
      <c r="N279">
        <v>360</v>
      </c>
      <c r="O279">
        <v>1</v>
      </c>
      <c r="P279" t="s">
        <v>21</v>
      </c>
      <c r="Q279">
        <f t="shared" si="36"/>
        <v>1</v>
      </c>
      <c r="R279">
        <f t="shared" si="37"/>
        <v>0</v>
      </c>
      <c r="S279">
        <f t="shared" si="38"/>
        <v>0</v>
      </c>
      <c r="T279" t="s">
        <v>22</v>
      </c>
      <c r="U279">
        <f t="shared" si="39"/>
        <v>1</v>
      </c>
      <c r="V279">
        <v>8.0404468813031098</v>
      </c>
      <c r="W279">
        <v>7.1708884785125049</v>
      </c>
      <c r="X279">
        <v>11.289781913656018</v>
      </c>
      <c r="Y279" t="s">
        <v>23</v>
      </c>
    </row>
    <row r="280" spans="1:25" x14ac:dyDescent="0.3">
      <c r="A280" t="s">
        <v>309</v>
      </c>
      <c r="B280" t="s">
        <v>18</v>
      </c>
      <c r="C280">
        <f t="shared" si="32"/>
        <v>1</v>
      </c>
      <c r="D280" t="s">
        <v>25</v>
      </c>
      <c r="E280">
        <f t="shared" si="33"/>
        <v>1</v>
      </c>
      <c r="F280">
        <v>0</v>
      </c>
      <c r="G280" t="s">
        <v>20</v>
      </c>
      <c r="H280">
        <f t="shared" si="34"/>
        <v>1</v>
      </c>
      <c r="I280" t="s">
        <v>19</v>
      </c>
      <c r="J280">
        <f t="shared" si="35"/>
        <v>0</v>
      </c>
      <c r="K280">
        <v>14583</v>
      </c>
      <c r="L280">
        <v>0</v>
      </c>
      <c r="M280">
        <v>436000</v>
      </c>
      <c r="N280">
        <v>360</v>
      </c>
      <c r="O280">
        <v>1</v>
      </c>
      <c r="P280" t="s">
        <v>35</v>
      </c>
      <c r="Q280">
        <f t="shared" si="36"/>
        <v>0</v>
      </c>
      <c r="R280">
        <f t="shared" si="37"/>
        <v>1</v>
      </c>
      <c r="S280">
        <f t="shared" si="38"/>
        <v>0</v>
      </c>
      <c r="T280" t="s">
        <v>22</v>
      </c>
      <c r="U280">
        <f t="shared" si="39"/>
        <v>1</v>
      </c>
      <c r="V280">
        <v>9.5876803163584992</v>
      </c>
      <c r="W280">
        <v>0</v>
      </c>
      <c r="X280">
        <v>12.985397522331171</v>
      </c>
      <c r="Y280" t="s">
        <v>23</v>
      </c>
    </row>
    <row r="281" spans="1:25" x14ac:dyDescent="0.3">
      <c r="A281" t="s">
        <v>310</v>
      </c>
      <c r="B281" t="s">
        <v>48</v>
      </c>
      <c r="C281">
        <f t="shared" si="32"/>
        <v>0</v>
      </c>
      <c r="D281" t="s">
        <v>25</v>
      </c>
      <c r="E281">
        <f t="shared" si="33"/>
        <v>1</v>
      </c>
      <c r="F281">
        <v>0</v>
      </c>
      <c r="G281" t="s">
        <v>30</v>
      </c>
      <c r="H281">
        <f t="shared" si="34"/>
        <v>0</v>
      </c>
      <c r="I281" t="s">
        <v>19</v>
      </c>
      <c r="J281">
        <f t="shared" si="35"/>
        <v>0</v>
      </c>
      <c r="K281">
        <v>4100</v>
      </c>
      <c r="L281">
        <v>0</v>
      </c>
      <c r="M281">
        <v>124000</v>
      </c>
      <c r="N281">
        <v>360</v>
      </c>
      <c r="O281">
        <v>1</v>
      </c>
      <c r="P281" t="s">
        <v>26</v>
      </c>
      <c r="Q281">
        <f t="shared" si="36"/>
        <v>0</v>
      </c>
      <c r="R281">
        <f t="shared" si="37"/>
        <v>0</v>
      </c>
      <c r="S281">
        <f t="shared" si="38"/>
        <v>1</v>
      </c>
      <c r="T281" t="s">
        <v>22</v>
      </c>
      <c r="U281">
        <f t="shared" si="39"/>
        <v>1</v>
      </c>
      <c r="V281">
        <v>8.3189861253920601</v>
      </c>
      <c r="W281">
        <v>0</v>
      </c>
      <c r="X281">
        <v>11.728036844587175</v>
      </c>
      <c r="Y281" t="s">
        <v>23</v>
      </c>
    </row>
    <row r="282" spans="1:25" x14ac:dyDescent="0.3">
      <c r="A282" t="s">
        <v>311</v>
      </c>
      <c r="B282" t="s">
        <v>18</v>
      </c>
      <c r="C282">
        <f t="shared" si="32"/>
        <v>1</v>
      </c>
      <c r="D282" t="s">
        <v>19</v>
      </c>
      <c r="E282">
        <f t="shared" si="33"/>
        <v>0</v>
      </c>
      <c r="F282">
        <v>1</v>
      </c>
      <c r="G282" t="s">
        <v>30</v>
      </c>
      <c r="H282">
        <f t="shared" si="34"/>
        <v>0</v>
      </c>
      <c r="I282" t="s">
        <v>25</v>
      </c>
      <c r="J282">
        <f t="shared" si="35"/>
        <v>1</v>
      </c>
      <c r="K282">
        <v>4053</v>
      </c>
      <c r="L282">
        <v>2426</v>
      </c>
      <c r="M282">
        <v>158000</v>
      </c>
      <c r="N282">
        <v>360</v>
      </c>
      <c r="O282">
        <v>0</v>
      </c>
      <c r="P282" t="s">
        <v>21</v>
      </c>
      <c r="Q282">
        <f t="shared" si="36"/>
        <v>1</v>
      </c>
      <c r="R282">
        <f t="shared" si="37"/>
        <v>0</v>
      </c>
      <c r="S282">
        <f t="shared" si="38"/>
        <v>0</v>
      </c>
      <c r="T282" t="s">
        <v>27</v>
      </c>
      <c r="U282">
        <f t="shared" si="39"/>
        <v>0</v>
      </c>
      <c r="V282">
        <v>8.3074593270119461</v>
      </c>
      <c r="W282">
        <v>7.7944112057266013</v>
      </c>
      <c r="X282">
        <v>11.970350312009105</v>
      </c>
      <c r="Y282" t="s">
        <v>23</v>
      </c>
    </row>
    <row r="283" spans="1:25" x14ac:dyDescent="0.3">
      <c r="A283" t="s">
        <v>312</v>
      </c>
      <c r="B283" t="s">
        <v>18</v>
      </c>
      <c r="C283">
        <f t="shared" si="32"/>
        <v>1</v>
      </c>
      <c r="D283" t="s">
        <v>25</v>
      </c>
      <c r="E283">
        <f t="shared" si="33"/>
        <v>1</v>
      </c>
      <c r="F283">
        <v>0</v>
      </c>
      <c r="G283" t="s">
        <v>20</v>
      </c>
      <c r="H283">
        <f t="shared" si="34"/>
        <v>1</v>
      </c>
      <c r="I283" t="s">
        <v>19</v>
      </c>
      <c r="J283">
        <f t="shared" si="35"/>
        <v>0</v>
      </c>
      <c r="K283">
        <v>3927</v>
      </c>
      <c r="L283">
        <v>800</v>
      </c>
      <c r="M283">
        <v>112000</v>
      </c>
      <c r="N283">
        <v>360</v>
      </c>
      <c r="O283">
        <v>1</v>
      </c>
      <c r="P283" t="s">
        <v>35</v>
      </c>
      <c r="Q283">
        <f t="shared" si="36"/>
        <v>0</v>
      </c>
      <c r="R283">
        <f t="shared" si="37"/>
        <v>1</v>
      </c>
      <c r="S283">
        <f t="shared" si="38"/>
        <v>0</v>
      </c>
      <c r="T283" t="s">
        <v>22</v>
      </c>
      <c r="U283">
        <f t="shared" si="39"/>
        <v>1</v>
      </c>
      <c r="V283">
        <v>8.2758856694743557</v>
      </c>
      <c r="W283">
        <v>6.6858609470683596</v>
      </c>
      <c r="X283">
        <v>11.626254150277232</v>
      </c>
      <c r="Y283" t="s">
        <v>23</v>
      </c>
    </row>
    <row r="284" spans="1:25" x14ac:dyDescent="0.3">
      <c r="A284" t="s">
        <v>313</v>
      </c>
      <c r="B284" t="s">
        <v>18</v>
      </c>
      <c r="C284">
        <f t="shared" si="32"/>
        <v>1</v>
      </c>
      <c r="D284" t="s">
        <v>25</v>
      </c>
      <c r="E284">
        <f t="shared" si="33"/>
        <v>1</v>
      </c>
      <c r="F284">
        <v>2</v>
      </c>
      <c r="G284" t="s">
        <v>20</v>
      </c>
      <c r="H284">
        <f t="shared" si="34"/>
        <v>1</v>
      </c>
      <c r="I284" t="s">
        <v>19</v>
      </c>
      <c r="J284">
        <f t="shared" si="35"/>
        <v>0</v>
      </c>
      <c r="K284">
        <v>2301</v>
      </c>
      <c r="L284">
        <v>985.79998780000005</v>
      </c>
      <c r="M284">
        <v>78000</v>
      </c>
      <c r="N284">
        <v>180</v>
      </c>
      <c r="O284">
        <v>1</v>
      </c>
      <c r="P284" t="s">
        <v>21</v>
      </c>
      <c r="Q284">
        <f t="shared" si="36"/>
        <v>1</v>
      </c>
      <c r="R284">
        <f t="shared" si="37"/>
        <v>0</v>
      </c>
      <c r="S284">
        <f t="shared" si="38"/>
        <v>0</v>
      </c>
      <c r="T284" t="s">
        <v>22</v>
      </c>
      <c r="U284">
        <f t="shared" si="39"/>
        <v>1</v>
      </c>
      <c r="V284">
        <v>7.7415335892818282</v>
      </c>
      <c r="W284">
        <v>6.8944673722920076</v>
      </c>
      <c r="X284">
        <v>11.264464105671729</v>
      </c>
      <c r="Y284" t="s">
        <v>46</v>
      </c>
    </row>
    <row r="285" spans="1:25" x14ac:dyDescent="0.3">
      <c r="A285" t="s">
        <v>314</v>
      </c>
      <c r="B285" t="s">
        <v>48</v>
      </c>
      <c r="C285">
        <f t="shared" si="32"/>
        <v>0</v>
      </c>
      <c r="D285" t="s">
        <v>19</v>
      </c>
      <c r="E285">
        <f t="shared" si="33"/>
        <v>0</v>
      </c>
      <c r="F285">
        <v>0</v>
      </c>
      <c r="G285" t="s">
        <v>20</v>
      </c>
      <c r="H285">
        <f t="shared" si="34"/>
        <v>1</v>
      </c>
      <c r="I285" t="s">
        <v>19</v>
      </c>
      <c r="J285">
        <f t="shared" si="35"/>
        <v>0</v>
      </c>
      <c r="K285">
        <v>1811</v>
      </c>
      <c r="L285">
        <v>1666</v>
      </c>
      <c r="M285">
        <v>54000</v>
      </c>
      <c r="N285">
        <v>360</v>
      </c>
      <c r="O285">
        <v>1</v>
      </c>
      <c r="P285" t="s">
        <v>21</v>
      </c>
      <c r="Q285">
        <f t="shared" si="36"/>
        <v>1</v>
      </c>
      <c r="R285">
        <f t="shared" si="37"/>
        <v>0</v>
      </c>
      <c r="S285">
        <f t="shared" si="38"/>
        <v>0</v>
      </c>
      <c r="T285" t="s">
        <v>22</v>
      </c>
      <c r="U285">
        <f t="shared" si="39"/>
        <v>1</v>
      </c>
      <c r="V285">
        <v>7.5021864866029251</v>
      </c>
      <c r="W285">
        <v>7.4187808827507942</v>
      </c>
      <c r="X285">
        <v>10.896739325546411</v>
      </c>
      <c r="Y285" t="s">
        <v>23</v>
      </c>
    </row>
    <row r="286" spans="1:25" x14ac:dyDescent="0.3">
      <c r="A286" t="s">
        <v>315</v>
      </c>
      <c r="B286" t="s">
        <v>18</v>
      </c>
      <c r="C286">
        <f t="shared" si="32"/>
        <v>1</v>
      </c>
      <c r="D286" t="s">
        <v>25</v>
      </c>
      <c r="E286">
        <f t="shared" si="33"/>
        <v>1</v>
      </c>
      <c r="F286">
        <v>0</v>
      </c>
      <c r="G286" t="s">
        <v>20</v>
      </c>
      <c r="H286">
        <f t="shared" si="34"/>
        <v>1</v>
      </c>
      <c r="I286" t="s">
        <v>19</v>
      </c>
      <c r="J286">
        <f t="shared" si="35"/>
        <v>0</v>
      </c>
      <c r="K286">
        <v>20667</v>
      </c>
      <c r="L286">
        <v>0</v>
      </c>
      <c r="M286">
        <v>128000</v>
      </c>
      <c r="N286">
        <v>360</v>
      </c>
      <c r="O286">
        <v>1</v>
      </c>
      <c r="P286" t="s">
        <v>26</v>
      </c>
      <c r="Q286">
        <f t="shared" si="36"/>
        <v>0</v>
      </c>
      <c r="R286">
        <f t="shared" si="37"/>
        <v>0</v>
      </c>
      <c r="S286">
        <f t="shared" si="38"/>
        <v>1</v>
      </c>
      <c r="T286" t="s">
        <v>27</v>
      </c>
      <c r="U286">
        <f t="shared" si="39"/>
        <v>0</v>
      </c>
      <c r="V286">
        <v>9.9363418894070747</v>
      </c>
      <c r="W286">
        <v>0</v>
      </c>
      <c r="X286">
        <v>11.759785542901755</v>
      </c>
      <c r="Y286" t="s">
        <v>23</v>
      </c>
    </row>
    <row r="287" spans="1:25" x14ac:dyDescent="0.3">
      <c r="A287" t="s">
        <v>316</v>
      </c>
      <c r="B287" t="s">
        <v>18</v>
      </c>
      <c r="C287">
        <f t="shared" si="32"/>
        <v>1</v>
      </c>
      <c r="D287" t="s">
        <v>19</v>
      </c>
      <c r="E287">
        <f t="shared" si="33"/>
        <v>0</v>
      </c>
      <c r="F287">
        <v>0</v>
      </c>
      <c r="G287" t="s">
        <v>20</v>
      </c>
      <c r="H287">
        <f t="shared" si="34"/>
        <v>1</v>
      </c>
      <c r="I287" t="s">
        <v>19</v>
      </c>
      <c r="J287">
        <f t="shared" si="35"/>
        <v>0</v>
      </c>
      <c r="K287">
        <v>3158</v>
      </c>
      <c r="L287">
        <v>3053</v>
      </c>
      <c r="M287">
        <v>89000</v>
      </c>
      <c r="N287">
        <v>360</v>
      </c>
      <c r="O287">
        <v>1</v>
      </c>
      <c r="P287" t="s">
        <v>26</v>
      </c>
      <c r="Q287">
        <f t="shared" si="36"/>
        <v>0</v>
      </c>
      <c r="R287">
        <f t="shared" si="37"/>
        <v>0</v>
      </c>
      <c r="S287">
        <f t="shared" si="38"/>
        <v>1</v>
      </c>
      <c r="T287" t="s">
        <v>22</v>
      </c>
      <c r="U287">
        <f t="shared" si="39"/>
        <v>1</v>
      </c>
      <c r="V287">
        <v>8.0580108008020854</v>
      </c>
      <c r="W287">
        <v>8.024207485778577</v>
      </c>
      <c r="X287">
        <v>11.396391648714276</v>
      </c>
      <c r="Y287" t="s">
        <v>23</v>
      </c>
    </row>
    <row r="288" spans="1:25" x14ac:dyDescent="0.3">
      <c r="A288" t="s">
        <v>317</v>
      </c>
      <c r="B288" t="s">
        <v>48</v>
      </c>
      <c r="C288">
        <f t="shared" si="32"/>
        <v>0</v>
      </c>
      <c r="D288" t="s">
        <v>19</v>
      </c>
      <c r="E288">
        <f t="shared" si="33"/>
        <v>0</v>
      </c>
      <c r="F288">
        <v>0</v>
      </c>
      <c r="G288" t="s">
        <v>20</v>
      </c>
      <c r="H288">
        <f t="shared" si="34"/>
        <v>1</v>
      </c>
      <c r="I288" t="s">
        <v>25</v>
      </c>
      <c r="J288">
        <f t="shared" si="35"/>
        <v>1</v>
      </c>
      <c r="K288">
        <v>2600</v>
      </c>
      <c r="L288">
        <v>1717</v>
      </c>
      <c r="M288">
        <v>99000</v>
      </c>
      <c r="N288">
        <v>300</v>
      </c>
      <c r="O288">
        <v>1</v>
      </c>
      <c r="P288" t="s">
        <v>35</v>
      </c>
      <c r="Q288">
        <f t="shared" si="36"/>
        <v>0</v>
      </c>
      <c r="R288">
        <f t="shared" si="37"/>
        <v>1</v>
      </c>
      <c r="S288">
        <f t="shared" si="38"/>
        <v>0</v>
      </c>
      <c r="T288" t="s">
        <v>27</v>
      </c>
      <c r="U288">
        <f t="shared" si="39"/>
        <v>0</v>
      </c>
      <c r="V288">
        <v>7.8636512654486506</v>
      </c>
      <c r="W288">
        <v>7.4489161025442003</v>
      </c>
      <c r="X288">
        <v>11.502875129116727</v>
      </c>
      <c r="Y288" t="s">
        <v>46</v>
      </c>
    </row>
    <row r="289" spans="1:25" x14ac:dyDescent="0.3">
      <c r="A289" t="s">
        <v>318</v>
      </c>
      <c r="B289" t="s">
        <v>18</v>
      </c>
      <c r="C289">
        <f t="shared" si="32"/>
        <v>1</v>
      </c>
      <c r="D289" t="s">
        <v>25</v>
      </c>
      <c r="E289">
        <f t="shared" si="33"/>
        <v>1</v>
      </c>
      <c r="F289">
        <v>0</v>
      </c>
      <c r="G289" t="s">
        <v>20</v>
      </c>
      <c r="H289">
        <f t="shared" si="34"/>
        <v>1</v>
      </c>
      <c r="I289" t="s">
        <v>19</v>
      </c>
      <c r="J289">
        <f t="shared" si="35"/>
        <v>0</v>
      </c>
      <c r="K289">
        <v>3704</v>
      </c>
      <c r="L289">
        <v>2000</v>
      </c>
      <c r="M289">
        <v>120000</v>
      </c>
      <c r="N289">
        <v>360</v>
      </c>
      <c r="O289">
        <v>1</v>
      </c>
      <c r="P289" t="s">
        <v>26</v>
      </c>
      <c r="Q289">
        <f t="shared" si="36"/>
        <v>0</v>
      </c>
      <c r="R289">
        <f t="shared" si="37"/>
        <v>0</v>
      </c>
      <c r="S289">
        <f t="shared" si="38"/>
        <v>1</v>
      </c>
      <c r="T289" t="s">
        <v>22</v>
      </c>
      <c r="U289">
        <f t="shared" si="39"/>
        <v>1</v>
      </c>
      <c r="V289">
        <v>8.2174385377301871</v>
      </c>
      <c r="W289">
        <v>7.6014023345837334</v>
      </c>
      <c r="X289">
        <v>11.695247021764184</v>
      </c>
      <c r="Y289" t="s">
        <v>23</v>
      </c>
    </row>
    <row r="290" spans="1:25" x14ac:dyDescent="0.3">
      <c r="A290" t="s">
        <v>319</v>
      </c>
      <c r="B290" t="s">
        <v>48</v>
      </c>
      <c r="C290">
        <f t="shared" si="32"/>
        <v>0</v>
      </c>
      <c r="D290" t="s">
        <v>19</v>
      </c>
      <c r="E290">
        <f t="shared" si="33"/>
        <v>0</v>
      </c>
      <c r="F290">
        <v>0</v>
      </c>
      <c r="G290" t="s">
        <v>20</v>
      </c>
      <c r="H290">
        <f t="shared" si="34"/>
        <v>1</v>
      </c>
      <c r="I290" t="s">
        <v>19</v>
      </c>
      <c r="J290">
        <f t="shared" si="35"/>
        <v>0</v>
      </c>
      <c r="K290">
        <v>4124</v>
      </c>
      <c r="L290">
        <v>0</v>
      </c>
      <c r="M290">
        <v>115000</v>
      </c>
      <c r="N290">
        <v>360</v>
      </c>
      <c r="O290">
        <v>1</v>
      </c>
      <c r="P290" t="s">
        <v>35</v>
      </c>
      <c r="Q290">
        <f t="shared" si="36"/>
        <v>0</v>
      </c>
      <c r="R290">
        <f t="shared" si="37"/>
        <v>1</v>
      </c>
      <c r="S290">
        <f t="shared" si="38"/>
        <v>0</v>
      </c>
      <c r="T290" t="s">
        <v>22</v>
      </c>
      <c r="U290">
        <f t="shared" si="39"/>
        <v>1</v>
      </c>
      <c r="V290">
        <v>8.3248212987687822</v>
      </c>
      <c r="W290">
        <v>0</v>
      </c>
      <c r="X290">
        <v>11.652687407345388</v>
      </c>
      <c r="Y290" t="s">
        <v>23</v>
      </c>
    </row>
    <row r="291" spans="1:25" x14ac:dyDescent="0.3">
      <c r="A291" t="s">
        <v>320</v>
      </c>
      <c r="B291" t="s">
        <v>18</v>
      </c>
      <c r="C291">
        <f t="shared" si="32"/>
        <v>1</v>
      </c>
      <c r="D291" t="s">
        <v>19</v>
      </c>
      <c r="E291">
        <f t="shared" si="33"/>
        <v>0</v>
      </c>
      <c r="F291">
        <v>0</v>
      </c>
      <c r="G291" t="s">
        <v>20</v>
      </c>
      <c r="H291">
        <f t="shared" si="34"/>
        <v>1</v>
      </c>
      <c r="I291" t="s">
        <v>19</v>
      </c>
      <c r="J291">
        <f t="shared" si="35"/>
        <v>0</v>
      </c>
      <c r="K291">
        <v>9508</v>
      </c>
      <c r="L291">
        <v>0</v>
      </c>
      <c r="M291">
        <v>187000</v>
      </c>
      <c r="N291">
        <v>360</v>
      </c>
      <c r="O291">
        <v>1</v>
      </c>
      <c r="P291" t="s">
        <v>26</v>
      </c>
      <c r="Q291">
        <f t="shared" si="36"/>
        <v>0</v>
      </c>
      <c r="R291">
        <f t="shared" si="37"/>
        <v>0</v>
      </c>
      <c r="S291">
        <f t="shared" si="38"/>
        <v>1</v>
      </c>
      <c r="T291" t="s">
        <v>22</v>
      </c>
      <c r="U291">
        <f t="shared" si="39"/>
        <v>1</v>
      </c>
      <c r="V291">
        <v>9.1599939975394449</v>
      </c>
      <c r="W291">
        <v>0</v>
      </c>
      <c r="X291">
        <v>12.138863895836725</v>
      </c>
      <c r="Y291" t="s">
        <v>23</v>
      </c>
    </row>
    <row r="292" spans="1:25" x14ac:dyDescent="0.3">
      <c r="A292" t="s">
        <v>321</v>
      </c>
      <c r="B292" t="s">
        <v>18</v>
      </c>
      <c r="C292">
        <f t="shared" si="32"/>
        <v>1</v>
      </c>
      <c r="D292" t="s">
        <v>25</v>
      </c>
      <c r="E292">
        <f t="shared" si="33"/>
        <v>1</v>
      </c>
      <c r="F292">
        <v>0</v>
      </c>
      <c r="G292" t="s">
        <v>20</v>
      </c>
      <c r="H292">
        <f t="shared" si="34"/>
        <v>1</v>
      </c>
      <c r="I292" t="s">
        <v>19</v>
      </c>
      <c r="J292">
        <f t="shared" si="35"/>
        <v>0</v>
      </c>
      <c r="K292">
        <v>3075</v>
      </c>
      <c r="L292">
        <v>2416</v>
      </c>
      <c r="M292">
        <v>139000</v>
      </c>
      <c r="N292">
        <v>360</v>
      </c>
      <c r="O292">
        <v>1</v>
      </c>
      <c r="P292" t="s">
        <v>26</v>
      </c>
      <c r="Q292">
        <f t="shared" si="36"/>
        <v>0</v>
      </c>
      <c r="R292">
        <f t="shared" si="37"/>
        <v>0</v>
      </c>
      <c r="S292">
        <f t="shared" si="38"/>
        <v>1</v>
      </c>
      <c r="T292" t="s">
        <v>22</v>
      </c>
      <c r="U292">
        <f t="shared" si="39"/>
        <v>1</v>
      </c>
      <c r="V292">
        <v>8.0313853306255343</v>
      </c>
      <c r="W292">
        <v>7.7902823807034833</v>
      </c>
      <c r="X292">
        <v>11.842229212112828</v>
      </c>
      <c r="Y292" t="s">
        <v>23</v>
      </c>
    </row>
    <row r="293" spans="1:25" x14ac:dyDescent="0.3">
      <c r="A293" t="s">
        <v>322</v>
      </c>
      <c r="B293" t="s">
        <v>18</v>
      </c>
      <c r="C293">
        <f t="shared" si="32"/>
        <v>1</v>
      </c>
      <c r="D293" t="s">
        <v>25</v>
      </c>
      <c r="E293">
        <f t="shared" si="33"/>
        <v>1</v>
      </c>
      <c r="F293">
        <v>2</v>
      </c>
      <c r="G293" t="s">
        <v>20</v>
      </c>
      <c r="H293">
        <f t="shared" si="34"/>
        <v>1</v>
      </c>
      <c r="I293" t="s">
        <v>19</v>
      </c>
      <c r="J293">
        <f t="shared" si="35"/>
        <v>0</v>
      </c>
      <c r="K293">
        <v>4400</v>
      </c>
      <c r="L293">
        <v>0</v>
      </c>
      <c r="M293">
        <v>127000</v>
      </c>
      <c r="N293">
        <v>360</v>
      </c>
      <c r="O293">
        <v>0</v>
      </c>
      <c r="P293" t="s">
        <v>35</v>
      </c>
      <c r="Q293">
        <f t="shared" si="36"/>
        <v>0</v>
      </c>
      <c r="R293">
        <f t="shared" si="37"/>
        <v>1</v>
      </c>
      <c r="S293">
        <f t="shared" si="38"/>
        <v>0</v>
      </c>
      <c r="T293" t="s">
        <v>27</v>
      </c>
      <c r="U293">
        <f t="shared" si="39"/>
        <v>0</v>
      </c>
      <c r="V293">
        <v>8.3895870668110906</v>
      </c>
      <c r="W293">
        <v>0</v>
      </c>
      <c r="X293">
        <v>11.751942365440728</v>
      </c>
      <c r="Y293" t="s">
        <v>23</v>
      </c>
    </row>
    <row r="294" spans="1:25" x14ac:dyDescent="0.3">
      <c r="A294" t="s">
        <v>323</v>
      </c>
      <c r="B294" t="s">
        <v>18</v>
      </c>
      <c r="C294">
        <f t="shared" si="32"/>
        <v>1</v>
      </c>
      <c r="D294" t="s">
        <v>25</v>
      </c>
      <c r="E294">
        <f t="shared" si="33"/>
        <v>1</v>
      </c>
      <c r="F294">
        <v>2</v>
      </c>
      <c r="G294" t="s">
        <v>20</v>
      </c>
      <c r="H294">
        <f t="shared" si="34"/>
        <v>1</v>
      </c>
      <c r="I294" t="s">
        <v>19</v>
      </c>
      <c r="J294">
        <f t="shared" si="35"/>
        <v>0</v>
      </c>
      <c r="K294">
        <v>3153</v>
      </c>
      <c r="L294">
        <v>1560</v>
      </c>
      <c r="M294">
        <v>134000</v>
      </c>
      <c r="N294">
        <v>360</v>
      </c>
      <c r="O294">
        <v>1</v>
      </c>
      <c r="P294" t="s">
        <v>21</v>
      </c>
      <c r="Q294">
        <f t="shared" si="36"/>
        <v>1</v>
      </c>
      <c r="R294">
        <f t="shared" si="37"/>
        <v>0</v>
      </c>
      <c r="S294">
        <f t="shared" si="38"/>
        <v>0</v>
      </c>
      <c r="T294" t="s">
        <v>22</v>
      </c>
      <c r="U294">
        <f t="shared" si="39"/>
        <v>1</v>
      </c>
      <c r="V294">
        <v>8.0564267675229839</v>
      </c>
      <c r="W294">
        <v>7.3530819205154323</v>
      </c>
      <c r="X294">
        <v>11.805595078933049</v>
      </c>
      <c r="Y294" t="s">
        <v>23</v>
      </c>
    </row>
    <row r="295" spans="1:25" x14ac:dyDescent="0.3">
      <c r="A295" t="s">
        <v>324</v>
      </c>
      <c r="B295" t="s">
        <v>48</v>
      </c>
      <c r="C295">
        <f t="shared" si="32"/>
        <v>0</v>
      </c>
      <c r="D295" t="s">
        <v>19</v>
      </c>
      <c r="E295">
        <f t="shared" si="33"/>
        <v>0</v>
      </c>
      <c r="F295">
        <v>0</v>
      </c>
      <c r="G295" t="s">
        <v>20</v>
      </c>
      <c r="H295">
        <f t="shared" si="34"/>
        <v>1</v>
      </c>
      <c r="I295" t="s">
        <v>19</v>
      </c>
      <c r="J295">
        <f t="shared" si="35"/>
        <v>0</v>
      </c>
      <c r="K295">
        <v>5417</v>
      </c>
      <c r="L295">
        <v>0</v>
      </c>
      <c r="M295">
        <v>143000</v>
      </c>
      <c r="N295">
        <v>480</v>
      </c>
      <c r="O295">
        <v>0</v>
      </c>
      <c r="P295" t="s">
        <v>21</v>
      </c>
      <c r="Q295">
        <f t="shared" si="36"/>
        <v>1</v>
      </c>
      <c r="R295">
        <f t="shared" si="37"/>
        <v>0</v>
      </c>
      <c r="S295">
        <f t="shared" si="38"/>
        <v>0</v>
      </c>
      <c r="T295" t="s">
        <v>27</v>
      </c>
      <c r="U295">
        <f t="shared" si="39"/>
        <v>0</v>
      </c>
      <c r="V295">
        <v>8.5974820226450408</v>
      </c>
      <c r="W295">
        <v>0</v>
      </c>
      <c r="X295">
        <v>11.870599909242044</v>
      </c>
      <c r="Y295" t="s">
        <v>23</v>
      </c>
    </row>
    <row r="296" spans="1:25" x14ac:dyDescent="0.3">
      <c r="A296" t="s">
        <v>325</v>
      </c>
      <c r="B296" t="s">
        <v>18</v>
      </c>
      <c r="C296">
        <f t="shared" si="32"/>
        <v>1</v>
      </c>
      <c r="D296" t="s">
        <v>25</v>
      </c>
      <c r="E296">
        <f t="shared" si="33"/>
        <v>1</v>
      </c>
      <c r="F296">
        <v>0</v>
      </c>
      <c r="G296" t="s">
        <v>20</v>
      </c>
      <c r="H296">
        <f t="shared" si="34"/>
        <v>1</v>
      </c>
      <c r="I296" t="s">
        <v>19</v>
      </c>
      <c r="J296">
        <f t="shared" si="35"/>
        <v>0</v>
      </c>
      <c r="K296">
        <v>2383</v>
      </c>
      <c r="L296">
        <v>3334</v>
      </c>
      <c r="M296">
        <v>172000</v>
      </c>
      <c r="N296">
        <v>360</v>
      </c>
      <c r="O296">
        <v>1</v>
      </c>
      <c r="P296" t="s">
        <v>35</v>
      </c>
      <c r="Q296">
        <f t="shared" si="36"/>
        <v>0</v>
      </c>
      <c r="R296">
        <f t="shared" si="37"/>
        <v>1</v>
      </c>
      <c r="S296">
        <f t="shared" si="38"/>
        <v>0</v>
      </c>
      <c r="T296" t="s">
        <v>22</v>
      </c>
      <c r="U296">
        <f t="shared" si="39"/>
        <v>1</v>
      </c>
      <c r="V296">
        <v>7.7765350281852408</v>
      </c>
      <c r="W296">
        <v>8.1122279583497239</v>
      </c>
      <c r="X296">
        <v>12.05524975579559</v>
      </c>
      <c r="Y296" t="s">
        <v>23</v>
      </c>
    </row>
    <row r="297" spans="1:25" x14ac:dyDescent="0.3">
      <c r="A297" t="s">
        <v>326</v>
      </c>
      <c r="B297" t="s">
        <v>18</v>
      </c>
      <c r="C297">
        <f t="shared" si="32"/>
        <v>1</v>
      </c>
      <c r="D297" t="s">
        <v>25</v>
      </c>
      <c r="E297">
        <f t="shared" si="33"/>
        <v>1</v>
      </c>
      <c r="F297">
        <v>3</v>
      </c>
      <c r="G297" t="s">
        <v>20</v>
      </c>
      <c r="H297">
        <f t="shared" si="34"/>
        <v>1</v>
      </c>
      <c r="I297" t="s">
        <v>19</v>
      </c>
      <c r="J297">
        <f t="shared" si="35"/>
        <v>0</v>
      </c>
      <c r="K297">
        <v>4416</v>
      </c>
      <c r="L297">
        <v>1250</v>
      </c>
      <c r="M297">
        <v>110000</v>
      </c>
      <c r="N297">
        <v>360</v>
      </c>
      <c r="O297">
        <v>1</v>
      </c>
      <c r="P297" t="s">
        <v>21</v>
      </c>
      <c r="Q297">
        <f t="shared" si="36"/>
        <v>1</v>
      </c>
      <c r="R297">
        <f t="shared" si="37"/>
        <v>0</v>
      </c>
      <c r="S297">
        <f t="shared" si="38"/>
        <v>0</v>
      </c>
      <c r="T297" t="s">
        <v>22</v>
      </c>
      <c r="U297">
        <f t="shared" si="39"/>
        <v>1</v>
      </c>
      <c r="V297">
        <v>8.3932160115965271</v>
      </c>
      <c r="W297">
        <v>7.1316985104669124</v>
      </c>
      <c r="X297">
        <v>11.608235644774552</v>
      </c>
      <c r="Y297" t="s">
        <v>23</v>
      </c>
    </row>
    <row r="298" spans="1:25" x14ac:dyDescent="0.3">
      <c r="A298" t="s">
        <v>327</v>
      </c>
      <c r="B298" t="s">
        <v>18</v>
      </c>
      <c r="C298">
        <f t="shared" si="32"/>
        <v>1</v>
      </c>
      <c r="D298" t="s">
        <v>25</v>
      </c>
      <c r="E298">
        <f t="shared" si="33"/>
        <v>1</v>
      </c>
      <c r="F298">
        <v>1</v>
      </c>
      <c r="G298" t="s">
        <v>20</v>
      </c>
      <c r="H298">
        <f t="shared" si="34"/>
        <v>1</v>
      </c>
      <c r="I298" t="s">
        <v>19</v>
      </c>
      <c r="J298">
        <f t="shared" si="35"/>
        <v>0</v>
      </c>
      <c r="K298">
        <v>6875</v>
      </c>
      <c r="L298">
        <v>0</v>
      </c>
      <c r="M298">
        <v>200000</v>
      </c>
      <c r="N298">
        <v>360</v>
      </c>
      <c r="O298">
        <v>1</v>
      </c>
      <c r="P298" t="s">
        <v>35</v>
      </c>
      <c r="Q298">
        <f t="shared" si="36"/>
        <v>0</v>
      </c>
      <c r="R298">
        <f t="shared" si="37"/>
        <v>1</v>
      </c>
      <c r="S298">
        <f t="shared" si="38"/>
        <v>0</v>
      </c>
      <c r="T298" t="s">
        <v>22</v>
      </c>
      <c r="U298">
        <f t="shared" si="39"/>
        <v>1</v>
      </c>
      <c r="V298">
        <v>8.8357923665027407</v>
      </c>
      <c r="W298">
        <v>0</v>
      </c>
      <c r="X298">
        <v>12.206072645530174</v>
      </c>
      <c r="Y298" t="s">
        <v>23</v>
      </c>
    </row>
    <row r="299" spans="1:25" x14ac:dyDescent="0.3">
      <c r="A299" t="s">
        <v>328</v>
      </c>
      <c r="B299" t="s">
        <v>48</v>
      </c>
      <c r="C299">
        <f t="shared" si="32"/>
        <v>0</v>
      </c>
      <c r="D299" t="s">
        <v>25</v>
      </c>
      <c r="E299">
        <f t="shared" si="33"/>
        <v>1</v>
      </c>
      <c r="F299">
        <v>1</v>
      </c>
      <c r="G299" t="s">
        <v>20</v>
      </c>
      <c r="H299">
        <f t="shared" si="34"/>
        <v>1</v>
      </c>
      <c r="I299" t="s">
        <v>19</v>
      </c>
      <c r="J299">
        <f t="shared" si="35"/>
        <v>0</v>
      </c>
      <c r="K299">
        <v>4666</v>
      </c>
      <c r="L299">
        <v>0</v>
      </c>
      <c r="M299">
        <v>135000</v>
      </c>
      <c r="N299">
        <v>360</v>
      </c>
      <c r="O299">
        <v>1</v>
      </c>
      <c r="P299" t="s">
        <v>21</v>
      </c>
      <c r="Q299">
        <f t="shared" si="36"/>
        <v>1</v>
      </c>
      <c r="R299">
        <f t="shared" si="37"/>
        <v>0</v>
      </c>
      <c r="S299">
        <f t="shared" si="38"/>
        <v>0</v>
      </c>
      <c r="T299" t="s">
        <v>22</v>
      </c>
      <c r="U299">
        <f t="shared" si="39"/>
        <v>1</v>
      </c>
      <c r="V299">
        <v>8.4482717459498158</v>
      </c>
      <c r="W299">
        <v>0</v>
      </c>
      <c r="X299">
        <v>11.813030057420567</v>
      </c>
      <c r="Y299" t="s">
        <v>23</v>
      </c>
    </row>
    <row r="300" spans="1:25" x14ac:dyDescent="0.3">
      <c r="A300" t="s">
        <v>329</v>
      </c>
      <c r="B300" t="s">
        <v>48</v>
      </c>
      <c r="C300">
        <f t="shared" si="32"/>
        <v>0</v>
      </c>
      <c r="D300" t="s">
        <v>19</v>
      </c>
      <c r="E300">
        <f t="shared" si="33"/>
        <v>0</v>
      </c>
      <c r="F300">
        <v>0</v>
      </c>
      <c r="G300" t="s">
        <v>20</v>
      </c>
      <c r="H300">
        <f t="shared" si="34"/>
        <v>1</v>
      </c>
      <c r="I300" t="s">
        <v>19</v>
      </c>
      <c r="J300">
        <f t="shared" si="35"/>
        <v>0</v>
      </c>
      <c r="K300">
        <v>5000</v>
      </c>
      <c r="L300">
        <v>2541</v>
      </c>
      <c r="M300">
        <v>151000</v>
      </c>
      <c r="N300">
        <v>480</v>
      </c>
      <c r="O300">
        <v>1</v>
      </c>
      <c r="P300" t="s">
        <v>26</v>
      </c>
      <c r="Q300">
        <f t="shared" si="36"/>
        <v>0</v>
      </c>
      <c r="R300">
        <f t="shared" si="37"/>
        <v>0</v>
      </c>
      <c r="S300">
        <f t="shared" si="38"/>
        <v>1</v>
      </c>
      <c r="T300" t="s">
        <v>27</v>
      </c>
      <c r="U300">
        <f t="shared" si="39"/>
        <v>0</v>
      </c>
      <c r="V300">
        <v>8.5173931714189042</v>
      </c>
      <c r="W300">
        <v>7.8407064517493996</v>
      </c>
      <c r="X300">
        <v>11.925035115797062</v>
      </c>
      <c r="Y300" t="s">
        <v>23</v>
      </c>
    </row>
    <row r="301" spans="1:25" x14ac:dyDescent="0.3">
      <c r="A301" t="s">
        <v>330</v>
      </c>
      <c r="B301" t="s">
        <v>18</v>
      </c>
      <c r="C301">
        <f t="shared" si="32"/>
        <v>1</v>
      </c>
      <c r="D301" t="s">
        <v>25</v>
      </c>
      <c r="E301">
        <f t="shared" si="33"/>
        <v>1</v>
      </c>
      <c r="F301">
        <v>1</v>
      </c>
      <c r="G301" t="s">
        <v>20</v>
      </c>
      <c r="H301">
        <f t="shared" si="34"/>
        <v>1</v>
      </c>
      <c r="I301" t="s">
        <v>19</v>
      </c>
      <c r="J301">
        <f t="shared" si="35"/>
        <v>0</v>
      </c>
      <c r="K301">
        <v>2014</v>
      </c>
      <c r="L301">
        <v>2925</v>
      </c>
      <c r="M301">
        <v>113000</v>
      </c>
      <c r="N301">
        <v>360</v>
      </c>
      <c r="O301">
        <v>1</v>
      </c>
      <c r="P301" t="s">
        <v>21</v>
      </c>
      <c r="Q301">
        <f t="shared" si="36"/>
        <v>1</v>
      </c>
      <c r="R301">
        <f t="shared" si="37"/>
        <v>0</v>
      </c>
      <c r="S301">
        <f t="shared" si="38"/>
        <v>0</v>
      </c>
      <c r="T301" t="s">
        <v>27</v>
      </c>
      <c r="U301">
        <f t="shared" si="39"/>
        <v>0</v>
      </c>
      <c r="V301">
        <v>7.6083744743807831</v>
      </c>
      <c r="W301">
        <v>7.9813915815800698</v>
      </c>
      <c r="X301">
        <v>11.635143097694478</v>
      </c>
      <c r="Y301" t="s">
        <v>23</v>
      </c>
    </row>
    <row r="302" spans="1:25" x14ac:dyDescent="0.3">
      <c r="A302" t="s">
        <v>331</v>
      </c>
      <c r="B302" t="s">
        <v>18</v>
      </c>
      <c r="C302">
        <f t="shared" si="32"/>
        <v>1</v>
      </c>
      <c r="D302" t="s">
        <v>25</v>
      </c>
      <c r="E302">
        <f t="shared" si="33"/>
        <v>1</v>
      </c>
      <c r="F302">
        <v>0</v>
      </c>
      <c r="G302" t="s">
        <v>30</v>
      </c>
      <c r="H302">
        <f t="shared" si="34"/>
        <v>0</v>
      </c>
      <c r="I302" t="s">
        <v>19</v>
      </c>
      <c r="J302">
        <f t="shared" si="35"/>
        <v>0</v>
      </c>
      <c r="K302">
        <v>1800</v>
      </c>
      <c r="L302">
        <v>2934</v>
      </c>
      <c r="M302">
        <v>93000</v>
      </c>
      <c r="N302">
        <v>360</v>
      </c>
      <c r="O302">
        <v>0</v>
      </c>
      <c r="P302" t="s">
        <v>21</v>
      </c>
      <c r="Q302">
        <f t="shared" si="36"/>
        <v>1</v>
      </c>
      <c r="R302">
        <f t="shared" si="37"/>
        <v>0</v>
      </c>
      <c r="S302">
        <f t="shared" si="38"/>
        <v>0</v>
      </c>
      <c r="T302" t="s">
        <v>27</v>
      </c>
      <c r="U302">
        <f t="shared" si="39"/>
        <v>0</v>
      </c>
      <c r="V302">
        <v>7.4960973451759561</v>
      </c>
      <c r="W302">
        <v>7.9844627322621964</v>
      </c>
      <c r="X302">
        <v>11.440354772135393</v>
      </c>
      <c r="Y302" t="s">
        <v>23</v>
      </c>
    </row>
    <row r="303" spans="1:25" x14ac:dyDescent="0.3">
      <c r="A303" t="s">
        <v>332</v>
      </c>
      <c r="B303" t="s">
        <v>18</v>
      </c>
      <c r="C303">
        <f t="shared" si="32"/>
        <v>1</v>
      </c>
      <c r="D303" t="s">
        <v>25</v>
      </c>
      <c r="E303">
        <f t="shared" si="33"/>
        <v>1</v>
      </c>
      <c r="F303">
        <v>0</v>
      </c>
      <c r="G303" t="s">
        <v>30</v>
      </c>
      <c r="H303">
        <f t="shared" si="34"/>
        <v>0</v>
      </c>
      <c r="I303" t="s">
        <v>19</v>
      </c>
      <c r="J303">
        <f t="shared" si="35"/>
        <v>0</v>
      </c>
      <c r="K303">
        <v>2875</v>
      </c>
      <c r="L303">
        <v>1750</v>
      </c>
      <c r="M303">
        <v>105000</v>
      </c>
      <c r="N303">
        <v>360</v>
      </c>
      <c r="O303">
        <v>1</v>
      </c>
      <c r="P303" t="s">
        <v>35</v>
      </c>
      <c r="Q303">
        <f t="shared" si="36"/>
        <v>0</v>
      </c>
      <c r="R303">
        <f t="shared" si="37"/>
        <v>1</v>
      </c>
      <c r="S303">
        <f t="shared" si="38"/>
        <v>0</v>
      </c>
      <c r="T303" t="s">
        <v>22</v>
      </c>
      <c r="U303">
        <f t="shared" si="39"/>
        <v>1</v>
      </c>
      <c r="V303">
        <v>7.9641557188409369</v>
      </c>
      <c r="W303">
        <v>7.467942332285852</v>
      </c>
      <c r="X303">
        <v>11.561715629139661</v>
      </c>
      <c r="Y303" t="s">
        <v>23</v>
      </c>
    </row>
    <row r="304" spans="1:25" x14ac:dyDescent="0.3">
      <c r="A304" t="s">
        <v>333</v>
      </c>
      <c r="B304" t="s">
        <v>48</v>
      </c>
      <c r="C304">
        <f t="shared" si="32"/>
        <v>0</v>
      </c>
      <c r="D304" t="s">
        <v>19</v>
      </c>
      <c r="E304">
        <f t="shared" si="33"/>
        <v>0</v>
      </c>
      <c r="F304">
        <v>0</v>
      </c>
      <c r="G304" t="s">
        <v>20</v>
      </c>
      <c r="H304">
        <f t="shared" si="34"/>
        <v>1</v>
      </c>
      <c r="I304" t="s">
        <v>19</v>
      </c>
      <c r="J304">
        <f t="shared" si="35"/>
        <v>0</v>
      </c>
      <c r="K304">
        <v>5000</v>
      </c>
      <c r="L304">
        <v>0</v>
      </c>
      <c r="M304">
        <v>132000</v>
      </c>
      <c r="N304">
        <v>360</v>
      </c>
      <c r="O304">
        <v>1</v>
      </c>
      <c r="P304" t="s">
        <v>26</v>
      </c>
      <c r="Q304">
        <f t="shared" si="36"/>
        <v>0</v>
      </c>
      <c r="R304">
        <f t="shared" si="37"/>
        <v>0</v>
      </c>
      <c r="S304">
        <f t="shared" si="38"/>
        <v>1</v>
      </c>
      <c r="T304" t="s">
        <v>22</v>
      </c>
      <c r="U304">
        <f t="shared" si="39"/>
        <v>1</v>
      </c>
      <c r="V304">
        <v>8.5173931714189042</v>
      </c>
      <c r="W304">
        <v>0</v>
      </c>
      <c r="X304">
        <v>11.790557201568507</v>
      </c>
      <c r="Y304" t="s">
        <v>23</v>
      </c>
    </row>
    <row r="305" spans="1:25" x14ac:dyDescent="0.3">
      <c r="A305" t="s">
        <v>334</v>
      </c>
      <c r="B305" t="s">
        <v>18</v>
      </c>
      <c r="C305">
        <f t="shared" si="32"/>
        <v>1</v>
      </c>
      <c r="D305" t="s">
        <v>25</v>
      </c>
      <c r="E305">
        <f t="shared" si="33"/>
        <v>1</v>
      </c>
      <c r="F305">
        <v>1</v>
      </c>
      <c r="G305" t="s">
        <v>20</v>
      </c>
      <c r="H305">
        <f t="shared" si="34"/>
        <v>1</v>
      </c>
      <c r="I305" t="s">
        <v>19</v>
      </c>
      <c r="J305">
        <f t="shared" si="35"/>
        <v>0</v>
      </c>
      <c r="K305">
        <v>1625</v>
      </c>
      <c r="L305">
        <v>1803</v>
      </c>
      <c r="M305">
        <v>96000</v>
      </c>
      <c r="N305">
        <v>360</v>
      </c>
      <c r="O305">
        <v>1</v>
      </c>
      <c r="P305" t="s">
        <v>21</v>
      </c>
      <c r="Q305">
        <f t="shared" si="36"/>
        <v>1</v>
      </c>
      <c r="R305">
        <f t="shared" si="37"/>
        <v>0</v>
      </c>
      <c r="S305">
        <f t="shared" si="38"/>
        <v>0</v>
      </c>
      <c r="T305" t="s">
        <v>22</v>
      </c>
      <c r="U305">
        <f t="shared" si="39"/>
        <v>1</v>
      </c>
      <c r="V305">
        <v>7.3938782901077564</v>
      </c>
      <c r="W305">
        <v>7.4977617006225694</v>
      </c>
      <c r="X305">
        <v>11.472103470449973</v>
      </c>
      <c r="Y305" t="s">
        <v>23</v>
      </c>
    </row>
    <row r="306" spans="1:25" x14ac:dyDescent="0.3">
      <c r="A306" t="s">
        <v>335</v>
      </c>
      <c r="B306" t="s">
        <v>18</v>
      </c>
      <c r="C306">
        <f t="shared" si="32"/>
        <v>1</v>
      </c>
      <c r="D306" t="s">
        <v>19</v>
      </c>
      <c r="E306">
        <f t="shared" si="33"/>
        <v>0</v>
      </c>
      <c r="F306">
        <v>0</v>
      </c>
      <c r="G306" t="s">
        <v>20</v>
      </c>
      <c r="H306">
        <f t="shared" si="34"/>
        <v>1</v>
      </c>
      <c r="I306" t="s">
        <v>19</v>
      </c>
      <c r="J306">
        <f t="shared" si="35"/>
        <v>0</v>
      </c>
      <c r="K306">
        <v>4000</v>
      </c>
      <c r="L306">
        <v>2500</v>
      </c>
      <c r="M306">
        <v>140000</v>
      </c>
      <c r="N306">
        <v>360</v>
      </c>
      <c r="O306">
        <v>1</v>
      </c>
      <c r="P306" t="s">
        <v>26</v>
      </c>
      <c r="Q306">
        <f t="shared" si="36"/>
        <v>0</v>
      </c>
      <c r="R306">
        <f t="shared" si="37"/>
        <v>0</v>
      </c>
      <c r="S306">
        <f t="shared" si="38"/>
        <v>1</v>
      </c>
      <c r="T306" t="s">
        <v>22</v>
      </c>
      <c r="U306">
        <f t="shared" si="39"/>
        <v>1</v>
      </c>
      <c r="V306">
        <v>8.2942996088572354</v>
      </c>
      <c r="W306">
        <v>7.8244459308776193</v>
      </c>
      <c r="X306">
        <v>11.849397701591441</v>
      </c>
      <c r="Y306" t="s">
        <v>23</v>
      </c>
    </row>
    <row r="307" spans="1:25" x14ac:dyDescent="0.3">
      <c r="A307" t="s">
        <v>336</v>
      </c>
      <c r="B307" t="s">
        <v>18</v>
      </c>
      <c r="C307">
        <f t="shared" si="32"/>
        <v>1</v>
      </c>
      <c r="D307" t="s">
        <v>19</v>
      </c>
      <c r="E307">
        <f t="shared" si="33"/>
        <v>0</v>
      </c>
      <c r="F307">
        <v>0</v>
      </c>
      <c r="G307" t="s">
        <v>30</v>
      </c>
      <c r="H307">
        <f t="shared" si="34"/>
        <v>0</v>
      </c>
      <c r="I307" t="s">
        <v>19</v>
      </c>
      <c r="J307">
        <f t="shared" si="35"/>
        <v>0</v>
      </c>
      <c r="K307">
        <v>2000</v>
      </c>
      <c r="L307">
        <v>0</v>
      </c>
      <c r="M307">
        <v>128000</v>
      </c>
      <c r="N307">
        <v>360</v>
      </c>
      <c r="O307">
        <v>1</v>
      </c>
      <c r="P307" t="s">
        <v>21</v>
      </c>
      <c r="Q307">
        <f t="shared" si="36"/>
        <v>1</v>
      </c>
      <c r="R307">
        <f t="shared" si="37"/>
        <v>0</v>
      </c>
      <c r="S307">
        <f t="shared" si="38"/>
        <v>0</v>
      </c>
      <c r="T307" t="s">
        <v>27</v>
      </c>
      <c r="U307">
        <f t="shared" si="39"/>
        <v>0</v>
      </c>
      <c r="V307">
        <v>7.6014023345837334</v>
      </c>
      <c r="W307">
        <v>0</v>
      </c>
      <c r="X307">
        <v>11.759785542901755</v>
      </c>
      <c r="Y307" t="s">
        <v>23</v>
      </c>
    </row>
    <row r="308" spans="1:25" x14ac:dyDescent="0.3">
      <c r="A308" t="s">
        <v>337</v>
      </c>
      <c r="B308" t="s">
        <v>48</v>
      </c>
      <c r="C308">
        <f t="shared" si="32"/>
        <v>0</v>
      </c>
      <c r="D308" t="s">
        <v>19</v>
      </c>
      <c r="E308">
        <f t="shared" si="33"/>
        <v>0</v>
      </c>
      <c r="F308">
        <v>0</v>
      </c>
      <c r="G308" t="s">
        <v>20</v>
      </c>
      <c r="H308">
        <f t="shared" si="34"/>
        <v>1</v>
      </c>
      <c r="I308" t="s">
        <v>19</v>
      </c>
      <c r="J308">
        <f t="shared" si="35"/>
        <v>0</v>
      </c>
      <c r="K308">
        <v>3762</v>
      </c>
      <c r="L308">
        <v>1666</v>
      </c>
      <c r="M308">
        <v>135000</v>
      </c>
      <c r="N308">
        <v>360</v>
      </c>
      <c r="O308">
        <v>1</v>
      </c>
      <c r="P308" t="s">
        <v>26</v>
      </c>
      <c r="Q308">
        <f t="shared" si="36"/>
        <v>0</v>
      </c>
      <c r="R308">
        <f t="shared" si="37"/>
        <v>0</v>
      </c>
      <c r="S308">
        <f t="shared" si="38"/>
        <v>1</v>
      </c>
      <c r="T308" t="s">
        <v>22</v>
      </c>
      <c r="U308">
        <f t="shared" si="39"/>
        <v>1</v>
      </c>
      <c r="V308">
        <v>8.232971790593437</v>
      </c>
      <c r="W308">
        <v>7.4187808827507942</v>
      </c>
      <c r="X308">
        <v>11.813030057420567</v>
      </c>
      <c r="Y308" t="s">
        <v>23</v>
      </c>
    </row>
    <row r="309" spans="1:25" x14ac:dyDescent="0.3">
      <c r="A309" t="s">
        <v>338</v>
      </c>
      <c r="B309" t="s">
        <v>48</v>
      </c>
      <c r="C309">
        <f t="shared" si="32"/>
        <v>0</v>
      </c>
      <c r="D309" t="s">
        <v>19</v>
      </c>
      <c r="E309">
        <f t="shared" si="33"/>
        <v>0</v>
      </c>
      <c r="F309">
        <v>0</v>
      </c>
      <c r="G309" t="s">
        <v>20</v>
      </c>
      <c r="H309">
        <f t="shared" si="34"/>
        <v>1</v>
      </c>
      <c r="I309" t="s">
        <v>19</v>
      </c>
      <c r="J309">
        <f t="shared" si="35"/>
        <v>0</v>
      </c>
      <c r="K309">
        <v>2400</v>
      </c>
      <c r="L309">
        <v>1863</v>
      </c>
      <c r="M309">
        <v>104000</v>
      </c>
      <c r="N309">
        <v>360</v>
      </c>
      <c r="O309">
        <v>0</v>
      </c>
      <c r="P309" t="s">
        <v>21</v>
      </c>
      <c r="Q309">
        <f t="shared" si="36"/>
        <v>1</v>
      </c>
      <c r="R309">
        <f t="shared" si="37"/>
        <v>0</v>
      </c>
      <c r="S309">
        <f t="shared" si="38"/>
        <v>0</v>
      </c>
      <c r="T309" t="s">
        <v>27</v>
      </c>
      <c r="U309">
        <f t="shared" si="39"/>
        <v>0</v>
      </c>
      <c r="V309">
        <v>7.7836405962212529</v>
      </c>
      <c r="W309">
        <v>7.5304799952455364</v>
      </c>
      <c r="X309">
        <v>11.552146178123509</v>
      </c>
      <c r="Y309" t="s">
        <v>23</v>
      </c>
    </row>
    <row r="310" spans="1:25" x14ac:dyDescent="0.3">
      <c r="A310" t="s">
        <v>339</v>
      </c>
      <c r="B310" t="s">
        <v>18</v>
      </c>
      <c r="C310">
        <f t="shared" si="32"/>
        <v>1</v>
      </c>
      <c r="D310" t="s">
        <v>19</v>
      </c>
      <c r="E310">
        <f t="shared" si="33"/>
        <v>0</v>
      </c>
      <c r="F310">
        <v>0</v>
      </c>
      <c r="G310" t="s">
        <v>20</v>
      </c>
      <c r="H310">
        <f t="shared" si="34"/>
        <v>1</v>
      </c>
      <c r="I310" t="s">
        <v>19</v>
      </c>
      <c r="J310">
        <f t="shared" si="35"/>
        <v>0</v>
      </c>
      <c r="K310">
        <v>20233</v>
      </c>
      <c r="L310">
        <v>0</v>
      </c>
      <c r="M310">
        <v>480000</v>
      </c>
      <c r="N310">
        <v>360</v>
      </c>
      <c r="O310">
        <v>1</v>
      </c>
      <c r="P310" t="s">
        <v>26</v>
      </c>
      <c r="Q310">
        <f t="shared" si="36"/>
        <v>0</v>
      </c>
      <c r="R310">
        <f t="shared" si="37"/>
        <v>0</v>
      </c>
      <c r="S310">
        <f t="shared" si="38"/>
        <v>1</v>
      </c>
      <c r="T310" t="s">
        <v>27</v>
      </c>
      <c r="U310">
        <f t="shared" si="39"/>
        <v>0</v>
      </c>
      <c r="V310">
        <v>9.9151196367658354</v>
      </c>
      <c r="W310">
        <v>0</v>
      </c>
      <c r="X310">
        <v>13.081541382884074</v>
      </c>
      <c r="Y310" t="s">
        <v>23</v>
      </c>
    </row>
    <row r="311" spans="1:25" x14ac:dyDescent="0.3">
      <c r="A311" t="s">
        <v>340</v>
      </c>
      <c r="B311" t="s">
        <v>18</v>
      </c>
      <c r="C311">
        <f t="shared" si="32"/>
        <v>1</v>
      </c>
      <c r="D311" t="s">
        <v>25</v>
      </c>
      <c r="E311">
        <f t="shared" si="33"/>
        <v>1</v>
      </c>
      <c r="F311">
        <v>2</v>
      </c>
      <c r="G311" t="s">
        <v>30</v>
      </c>
      <c r="H311">
        <f t="shared" si="34"/>
        <v>0</v>
      </c>
      <c r="I311" t="s">
        <v>19</v>
      </c>
      <c r="J311">
        <f t="shared" si="35"/>
        <v>0</v>
      </c>
      <c r="K311">
        <v>7667</v>
      </c>
      <c r="L311">
        <v>0</v>
      </c>
      <c r="M311">
        <v>185000</v>
      </c>
      <c r="N311">
        <v>360</v>
      </c>
      <c r="O311">
        <v>1</v>
      </c>
      <c r="P311" t="s">
        <v>26</v>
      </c>
      <c r="Q311">
        <f t="shared" si="36"/>
        <v>0</v>
      </c>
      <c r="R311">
        <f t="shared" si="37"/>
        <v>0</v>
      </c>
      <c r="S311">
        <f t="shared" si="38"/>
        <v>1</v>
      </c>
      <c r="T311" t="s">
        <v>22</v>
      </c>
      <c r="U311">
        <f t="shared" si="39"/>
        <v>1</v>
      </c>
      <c r="V311">
        <v>8.9448111041655345</v>
      </c>
      <c r="W311">
        <v>0</v>
      </c>
      <c r="X311">
        <v>12.128111104060462</v>
      </c>
      <c r="Y311" t="s">
        <v>23</v>
      </c>
    </row>
    <row r="312" spans="1:25" x14ac:dyDescent="0.3">
      <c r="A312" t="s">
        <v>341</v>
      </c>
      <c r="B312" t="s">
        <v>48</v>
      </c>
      <c r="C312">
        <f t="shared" si="32"/>
        <v>0</v>
      </c>
      <c r="D312" t="s">
        <v>19</v>
      </c>
      <c r="E312">
        <f t="shared" si="33"/>
        <v>0</v>
      </c>
      <c r="F312">
        <v>0</v>
      </c>
      <c r="G312" t="s">
        <v>20</v>
      </c>
      <c r="H312">
        <f t="shared" si="34"/>
        <v>1</v>
      </c>
      <c r="I312" t="s">
        <v>19</v>
      </c>
      <c r="J312">
        <f t="shared" si="35"/>
        <v>0</v>
      </c>
      <c r="K312">
        <v>2917</v>
      </c>
      <c r="L312">
        <v>0</v>
      </c>
      <c r="M312">
        <v>84000</v>
      </c>
      <c r="N312">
        <v>360</v>
      </c>
      <c r="O312">
        <v>1</v>
      </c>
      <c r="P312" t="s">
        <v>35</v>
      </c>
      <c r="Q312">
        <f t="shared" si="36"/>
        <v>0</v>
      </c>
      <c r="R312">
        <f t="shared" si="37"/>
        <v>1</v>
      </c>
      <c r="S312">
        <f t="shared" si="38"/>
        <v>0</v>
      </c>
      <c r="T312" t="s">
        <v>22</v>
      </c>
      <c r="U312">
        <f t="shared" si="39"/>
        <v>1</v>
      </c>
      <c r="V312">
        <v>7.9786537290827306</v>
      </c>
      <c r="W312">
        <v>0</v>
      </c>
      <c r="X312">
        <v>11.33857207782545</v>
      </c>
      <c r="Y312" t="s">
        <v>23</v>
      </c>
    </row>
    <row r="313" spans="1:25" x14ac:dyDescent="0.3">
      <c r="A313" t="s">
        <v>342</v>
      </c>
      <c r="B313" t="s">
        <v>18</v>
      </c>
      <c r="C313">
        <f t="shared" si="32"/>
        <v>1</v>
      </c>
      <c r="D313" t="s">
        <v>19</v>
      </c>
      <c r="E313">
        <f t="shared" si="33"/>
        <v>0</v>
      </c>
      <c r="F313">
        <v>0</v>
      </c>
      <c r="G313" t="s">
        <v>30</v>
      </c>
      <c r="H313">
        <f t="shared" si="34"/>
        <v>0</v>
      </c>
      <c r="I313" t="s">
        <v>19</v>
      </c>
      <c r="J313">
        <f t="shared" si="35"/>
        <v>0</v>
      </c>
      <c r="K313">
        <v>2927</v>
      </c>
      <c r="L313">
        <v>2405</v>
      </c>
      <c r="M313">
        <v>111000</v>
      </c>
      <c r="N313">
        <v>360</v>
      </c>
      <c r="O313">
        <v>1</v>
      </c>
      <c r="P313" t="s">
        <v>35</v>
      </c>
      <c r="Q313">
        <f t="shared" si="36"/>
        <v>0</v>
      </c>
      <c r="R313">
        <f t="shared" si="37"/>
        <v>1</v>
      </c>
      <c r="S313">
        <f t="shared" si="38"/>
        <v>0</v>
      </c>
      <c r="T313" t="s">
        <v>22</v>
      </c>
      <c r="U313">
        <f t="shared" si="39"/>
        <v>1</v>
      </c>
      <c r="V313">
        <v>7.9820748750812021</v>
      </c>
      <c r="W313">
        <v>7.7857208965346238</v>
      </c>
      <c r="X313">
        <v>11.617285480294472</v>
      </c>
      <c r="Y313" t="s">
        <v>23</v>
      </c>
    </row>
    <row r="314" spans="1:25" x14ac:dyDescent="0.3">
      <c r="A314" t="s">
        <v>343</v>
      </c>
      <c r="B314" t="s">
        <v>48</v>
      </c>
      <c r="C314">
        <f t="shared" si="32"/>
        <v>0</v>
      </c>
      <c r="D314" t="s">
        <v>19</v>
      </c>
      <c r="E314">
        <f t="shared" si="33"/>
        <v>0</v>
      </c>
      <c r="F314">
        <v>0</v>
      </c>
      <c r="G314" t="s">
        <v>20</v>
      </c>
      <c r="H314">
        <f t="shared" si="34"/>
        <v>1</v>
      </c>
      <c r="I314" t="s">
        <v>19</v>
      </c>
      <c r="J314">
        <f t="shared" si="35"/>
        <v>0</v>
      </c>
      <c r="K314">
        <v>2507</v>
      </c>
      <c r="L314">
        <v>0</v>
      </c>
      <c r="M314">
        <v>56000</v>
      </c>
      <c r="N314">
        <v>360</v>
      </c>
      <c r="O314">
        <v>1</v>
      </c>
      <c r="P314" t="s">
        <v>26</v>
      </c>
      <c r="Q314">
        <f t="shared" si="36"/>
        <v>0</v>
      </c>
      <c r="R314">
        <f t="shared" si="37"/>
        <v>0</v>
      </c>
      <c r="S314">
        <f t="shared" si="38"/>
        <v>1</v>
      </c>
      <c r="T314" t="s">
        <v>22</v>
      </c>
      <c r="U314">
        <f t="shared" si="39"/>
        <v>1</v>
      </c>
      <c r="V314">
        <v>7.8272409017528117</v>
      </c>
      <c r="W314">
        <v>0</v>
      </c>
      <c r="X314">
        <v>10.933106969717286</v>
      </c>
      <c r="Y314" t="s">
        <v>23</v>
      </c>
    </row>
    <row r="315" spans="1:25" x14ac:dyDescent="0.3">
      <c r="A315" t="s">
        <v>344</v>
      </c>
      <c r="B315" t="s">
        <v>18</v>
      </c>
      <c r="C315">
        <f t="shared" si="32"/>
        <v>1</v>
      </c>
      <c r="D315" t="s">
        <v>25</v>
      </c>
      <c r="E315">
        <f t="shared" si="33"/>
        <v>1</v>
      </c>
      <c r="F315">
        <v>2</v>
      </c>
      <c r="G315" t="s">
        <v>20</v>
      </c>
      <c r="H315">
        <f t="shared" si="34"/>
        <v>1</v>
      </c>
      <c r="I315" t="s">
        <v>25</v>
      </c>
      <c r="J315">
        <f t="shared" si="35"/>
        <v>1</v>
      </c>
      <c r="K315">
        <v>5746</v>
      </c>
      <c r="L315">
        <v>0</v>
      </c>
      <c r="M315">
        <v>144000</v>
      </c>
      <c r="N315">
        <v>84</v>
      </c>
      <c r="O315">
        <v>1</v>
      </c>
      <c r="P315" t="s">
        <v>26</v>
      </c>
      <c r="Q315">
        <f t="shared" si="36"/>
        <v>0</v>
      </c>
      <c r="R315">
        <f t="shared" si="37"/>
        <v>0</v>
      </c>
      <c r="S315">
        <f t="shared" si="38"/>
        <v>1</v>
      </c>
      <c r="T315" t="s">
        <v>22</v>
      </c>
      <c r="U315">
        <f t="shared" si="39"/>
        <v>1</v>
      </c>
      <c r="V315">
        <v>8.6564332585077413</v>
      </c>
      <c r="W315">
        <v>0</v>
      </c>
      <c r="X315">
        <v>11.877568578558138</v>
      </c>
      <c r="Y315" t="s">
        <v>43</v>
      </c>
    </row>
    <row r="316" spans="1:25" x14ac:dyDescent="0.3">
      <c r="A316" t="s">
        <v>345</v>
      </c>
      <c r="B316" t="s">
        <v>18</v>
      </c>
      <c r="C316">
        <f t="shared" si="32"/>
        <v>1</v>
      </c>
      <c r="D316" t="s">
        <v>25</v>
      </c>
      <c r="E316">
        <f t="shared" si="33"/>
        <v>1</v>
      </c>
      <c r="F316">
        <v>0</v>
      </c>
      <c r="G316" t="s">
        <v>20</v>
      </c>
      <c r="H316">
        <f t="shared" si="34"/>
        <v>1</v>
      </c>
      <c r="I316" t="s">
        <v>19</v>
      </c>
      <c r="J316">
        <f t="shared" si="35"/>
        <v>0</v>
      </c>
      <c r="K316">
        <v>2473</v>
      </c>
      <c r="L316">
        <v>1843</v>
      </c>
      <c r="M316">
        <v>159000</v>
      </c>
      <c r="N316">
        <v>360</v>
      </c>
      <c r="O316">
        <v>1</v>
      </c>
      <c r="P316" t="s">
        <v>26</v>
      </c>
      <c r="Q316">
        <f t="shared" si="36"/>
        <v>0</v>
      </c>
      <c r="R316">
        <f t="shared" si="37"/>
        <v>0</v>
      </c>
      <c r="S316">
        <f t="shared" si="38"/>
        <v>1</v>
      </c>
      <c r="T316" t="s">
        <v>27</v>
      </c>
      <c r="U316">
        <f t="shared" si="39"/>
        <v>0</v>
      </c>
      <c r="V316">
        <v>7.8135915529524329</v>
      </c>
      <c r="W316">
        <v>7.5196924041165394</v>
      </c>
      <c r="X316">
        <v>11.976659481202368</v>
      </c>
      <c r="Y316" t="s">
        <v>23</v>
      </c>
    </row>
    <row r="317" spans="1:25" x14ac:dyDescent="0.3">
      <c r="A317" t="s">
        <v>346</v>
      </c>
      <c r="B317" t="s">
        <v>18</v>
      </c>
      <c r="C317">
        <f t="shared" si="32"/>
        <v>1</v>
      </c>
      <c r="D317" t="s">
        <v>25</v>
      </c>
      <c r="E317">
        <f t="shared" si="33"/>
        <v>1</v>
      </c>
      <c r="F317">
        <v>1</v>
      </c>
      <c r="G317" t="s">
        <v>30</v>
      </c>
      <c r="H317">
        <f t="shared" si="34"/>
        <v>0</v>
      </c>
      <c r="I317" t="s">
        <v>19</v>
      </c>
      <c r="J317">
        <f t="shared" si="35"/>
        <v>0</v>
      </c>
      <c r="K317">
        <v>3399</v>
      </c>
      <c r="L317">
        <v>1640</v>
      </c>
      <c r="M317">
        <v>111000</v>
      </c>
      <c r="N317">
        <v>180</v>
      </c>
      <c r="O317">
        <v>1</v>
      </c>
      <c r="P317" t="s">
        <v>21</v>
      </c>
      <c r="Q317">
        <f t="shared" si="36"/>
        <v>1</v>
      </c>
      <c r="R317">
        <f t="shared" si="37"/>
        <v>0</v>
      </c>
      <c r="S317">
        <f t="shared" si="38"/>
        <v>0</v>
      </c>
      <c r="T317" t="s">
        <v>22</v>
      </c>
      <c r="U317">
        <f t="shared" si="39"/>
        <v>1</v>
      </c>
      <c r="V317">
        <v>8.1315307106042525</v>
      </c>
      <c r="W317">
        <v>7.4030610910900911</v>
      </c>
      <c r="X317">
        <v>11.617285480294472</v>
      </c>
      <c r="Y317" t="s">
        <v>46</v>
      </c>
    </row>
    <row r="318" spans="1:25" x14ac:dyDescent="0.3">
      <c r="A318" t="s">
        <v>347</v>
      </c>
      <c r="B318" t="s">
        <v>18</v>
      </c>
      <c r="C318">
        <f t="shared" si="32"/>
        <v>1</v>
      </c>
      <c r="D318" t="s">
        <v>25</v>
      </c>
      <c r="E318">
        <f t="shared" si="33"/>
        <v>1</v>
      </c>
      <c r="F318">
        <v>2</v>
      </c>
      <c r="G318" t="s">
        <v>20</v>
      </c>
      <c r="H318">
        <f t="shared" si="34"/>
        <v>1</v>
      </c>
      <c r="I318" t="s">
        <v>19</v>
      </c>
      <c r="J318">
        <f t="shared" si="35"/>
        <v>0</v>
      </c>
      <c r="K318">
        <v>3717</v>
      </c>
      <c r="L318">
        <v>0</v>
      </c>
      <c r="M318">
        <v>120000</v>
      </c>
      <c r="N318">
        <v>360</v>
      </c>
      <c r="O318">
        <v>1</v>
      </c>
      <c r="P318" t="s">
        <v>35</v>
      </c>
      <c r="Q318">
        <f t="shared" si="36"/>
        <v>0</v>
      </c>
      <c r="R318">
        <f t="shared" si="37"/>
        <v>1</v>
      </c>
      <c r="S318">
        <f t="shared" si="38"/>
        <v>0</v>
      </c>
      <c r="T318" t="s">
        <v>22</v>
      </c>
      <c r="U318">
        <f t="shared" si="39"/>
        <v>1</v>
      </c>
      <c r="V318">
        <v>8.2209411682813887</v>
      </c>
      <c r="W318">
        <v>0</v>
      </c>
      <c r="X318">
        <v>11.695247021764184</v>
      </c>
      <c r="Y318" t="s">
        <v>23</v>
      </c>
    </row>
    <row r="319" spans="1:25" x14ac:dyDescent="0.3">
      <c r="A319" t="s">
        <v>348</v>
      </c>
      <c r="B319" t="s">
        <v>18</v>
      </c>
      <c r="C319">
        <f t="shared" si="32"/>
        <v>1</v>
      </c>
      <c r="D319" t="s">
        <v>25</v>
      </c>
      <c r="E319">
        <f t="shared" si="33"/>
        <v>1</v>
      </c>
      <c r="F319">
        <v>0</v>
      </c>
      <c r="G319" t="s">
        <v>20</v>
      </c>
      <c r="H319">
        <f t="shared" si="34"/>
        <v>1</v>
      </c>
      <c r="I319" t="s">
        <v>19</v>
      </c>
      <c r="J319">
        <f t="shared" si="35"/>
        <v>0</v>
      </c>
      <c r="K319">
        <v>2058</v>
      </c>
      <c r="L319">
        <v>2134</v>
      </c>
      <c r="M319">
        <v>88000</v>
      </c>
      <c r="N319">
        <v>360</v>
      </c>
      <c r="O319">
        <v>1</v>
      </c>
      <c r="P319" t="s">
        <v>21</v>
      </c>
      <c r="Q319">
        <f t="shared" si="36"/>
        <v>1</v>
      </c>
      <c r="R319">
        <f t="shared" si="37"/>
        <v>0</v>
      </c>
      <c r="S319">
        <f t="shared" si="38"/>
        <v>0</v>
      </c>
      <c r="T319" t="s">
        <v>22</v>
      </c>
      <c r="U319">
        <f t="shared" si="39"/>
        <v>1</v>
      </c>
      <c r="V319">
        <v>7.6299757070277892</v>
      </c>
      <c r="W319">
        <v>7.6662219256627253</v>
      </c>
      <c r="X319">
        <v>11.385092093460344</v>
      </c>
      <c r="Y319" t="s">
        <v>23</v>
      </c>
    </row>
    <row r="320" spans="1:25" x14ac:dyDescent="0.3">
      <c r="A320" t="s">
        <v>349</v>
      </c>
      <c r="B320" t="s">
        <v>48</v>
      </c>
      <c r="C320">
        <f t="shared" si="32"/>
        <v>0</v>
      </c>
      <c r="D320" t="s">
        <v>19</v>
      </c>
      <c r="E320">
        <f t="shared" si="33"/>
        <v>0</v>
      </c>
      <c r="F320">
        <v>1</v>
      </c>
      <c r="G320" t="s">
        <v>20</v>
      </c>
      <c r="H320">
        <f t="shared" si="34"/>
        <v>1</v>
      </c>
      <c r="I320" t="s">
        <v>19</v>
      </c>
      <c r="J320">
        <f t="shared" si="35"/>
        <v>0</v>
      </c>
      <c r="K320">
        <v>3541</v>
      </c>
      <c r="L320">
        <v>0</v>
      </c>
      <c r="M320">
        <v>112000</v>
      </c>
      <c r="N320">
        <v>360</v>
      </c>
      <c r="O320">
        <v>1</v>
      </c>
      <c r="P320" t="s">
        <v>35</v>
      </c>
      <c r="Q320">
        <f t="shared" si="36"/>
        <v>0</v>
      </c>
      <c r="R320">
        <f t="shared" si="37"/>
        <v>1</v>
      </c>
      <c r="S320">
        <f t="shared" si="38"/>
        <v>0</v>
      </c>
      <c r="T320" t="s">
        <v>22</v>
      </c>
      <c r="U320">
        <f t="shared" si="39"/>
        <v>1</v>
      </c>
      <c r="V320">
        <v>8.1724468183427792</v>
      </c>
      <c r="W320">
        <v>0</v>
      </c>
      <c r="X320">
        <v>11.626254150277232</v>
      </c>
      <c r="Y320" t="s">
        <v>23</v>
      </c>
    </row>
    <row r="321" spans="1:25" x14ac:dyDescent="0.3">
      <c r="A321" t="s">
        <v>350</v>
      </c>
      <c r="B321" t="s">
        <v>18</v>
      </c>
      <c r="C321">
        <f t="shared" si="32"/>
        <v>1</v>
      </c>
      <c r="D321" t="s">
        <v>25</v>
      </c>
      <c r="E321">
        <f t="shared" si="33"/>
        <v>1</v>
      </c>
      <c r="F321">
        <v>1</v>
      </c>
      <c r="G321" t="s">
        <v>20</v>
      </c>
      <c r="H321">
        <f t="shared" si="34"/>
        <v>1</v>
      </c>
      <c r="I321" t="s">
        <v>25</v>
      </c>
      <c r="J321">
        <f t="shared" si="35"/>
        <v>1</v>
      </c>
      <c r="K321">
        <v>10000</v>
      </c>
      <c r="L321">
        <v>0</v>
      </c>
      <c r="M321">
        <v>155000</v>
      </c>
      <c r="N321">
        <v>360</v>
      </c>
      <c r="O321">
        <v>1</v>
      </c>
      <c r="P321" t="s">
        <v>26</v>
      </c>
      <c r="Q321">
        <f t="shared" si="36"/>
        <v>0</v>
      </c>
      <c r="R321">
        <f t="shared" si="37"/>
        <v>0</v>
      </c>
      <c r="S321">
        <f t="shared" si="38"/>
        <v>1</v>
      </c>
      <c r="T321" t="s">
        <v>27</v>
      </c>
      <c r="U321">
        <f t="shared" si="39"/>
        <v>0</v>
      </c>
      <c r="V321">
        <v>9.2104403669765169</v>
      </c>
      <c r="W321">
        <v>0</v>
      </c>
      <c r="X321">
        <v>11.951180395901384</v>
      </c>
      <c r="Y321" t="s">
        <v>23</v>
      </c>
    </row>
    <row r="322" spans="1:25" x14ac:dyDescent="0.3">
      <c r="A322" t="s">
        <v>351</v>
      </c>
      <c r="B322" t="s">
        <v>18</v>
      </c>
      <c r="C322">
        <f t="shared" si="32"/>
        <v>1</v>
      </c>
      <c r="D322" t="s">
        <v>25</v>
      </c>
      <c r="E322">
        <f t="shared" si="33"/>
        <v>1</v>
      </c>
      <c r="F322">
        <v>0</v>
      </c>
      <c r="G322" t="s">
        <v>20</v>
      </c>
      <c r="H322">
        <f t="shared" si="34"/>
        <v>1</v>
      </c>
      <c r="I322" t="s">
        <v>19</v>
      </c>
      <c r="J322">
        <f t="shared" si="35"/>
        <v>0</v>
      </c>
      <c r="K322">
        <v>2400</v>
      </c>
      <c r="L322">
        <v>2167</v>
      </c>
      <c r="M322">
        <v>115000</v>
      </c>
      <c r="N322">
        <v>360</v>
      </c>
      <c r="O322">
        <v>1</v>
      </c>
      <c r="P322" t="s">
        <v>35</v>
      </c>
      <c r="Q322">
        <f t="shared" si="36"/>
        <v>0</v>
      </c>
      <c r="R322">
        <f t="shared" si="37"/>
        <v>1</v>
      </c>
      <c r="S322">
        <f t="shared" si="38"/>
        <v>0</v>
      </c>
      <c r="T322" t="s">
        <v>22</v>
      </c>
      <c r="U322">
        <f t="shared" si="39"/>
        <v>1</v>
      </c>
      <c r="V322">
        <v>7.7836405962212529</v>
      </c>
      <c r="W322">
        <v>7.6815603625595372</v>
      </c>
      <c r="X322">
        <v>11.652687407345388</v>
      </c>
      <c r="Y322" t="s">
        <v>23</v>
      </c>
    </row>
    <row r="323" spans="1:25" x14ac:dyDescent="0.3">
      <c r="A323" t="s">
        <v>352</v>
      </c>
      <c r="B323" t="s">
        <v>18</v>
      </c>
      <c r="C323">
        <f t="shared" ref="C323:C386" si="40">IF(B323="Male",1,0)</f>
        <v>1</v>
      </c>
      <c r="D323" t="s">
        <v>25</v>
      </c>
      <c r="E323">
        <f t="shared" ref="E323:E386" si="41">IF(D323="No",0,1)</f>
        <v>1</v>
      </c>
      <c r="F323">
        <v>3</v>
      </c>
      <c r="G323" t="s">
        <v>20</v>
      </c>
      <c r="H323">
        <f t="shared" ref="H323:H386" si="42">IF(G323="Graduate",1,0)</f>
        <v>1</v>
      </c>
      <c r="I323" t="s">
        <v>19</v>
      </c>
      <c r="J323">
        <f t="shared" ref="J323:J386" si="43">IF(I323="No",0,1)</f>
        <v>0</v>
      </c>
      <c r="K323">
        <v>4342</v>
      </c>
      <c r="L323">
        <v>189</v>
      </c>
      <c r="M323">
        <v>124000</v>
      </c>
      <c r="N323">
        <v>360</v>
      </c>
      <c r="O323">
        <v>1</v>
      </c>
      <c r="P323" t="s">
        <v>35</v>
      </c>
      <c r="Q323">
        <f t="shared" ref="Q323:Q386" si="44">IF(P323="Urban",1,0)</f>
        <v>0</v>
      </c>
      <c r="R323">
        <f t="shared" ref="R323:R386" si="45">IF(P323="Semiurban",1,0)</f>
        <v>1</v>
      </c>
      <c r="S323">
        <f t="shared" ref="S323:S386" si="46">IF(P323="Rural",1,0)</f>
        <v>0</v>
      </c>
      <c r="T323" t="s">
        <v>22</v>
      </c>
      <c r="U323">
        <f t="shared" ref="U323:U386" si="47">IF(T323="Y",1,0)</f>
        <v>1</v>
      </c>
      <c r="V323">
        <v>8.3763206325348225</v>
      </c>
      <c r="W323">
        <v>5.2470240721604862</v>
      </c>
      <c r="X323">
        <v>11.728036844587175</v>
      </c>
      <c r="Y323" t="s">
        <v>23</v>
      </c>
    </row>
    <row r="324" spans="1:25" x14ac:dyDescent="0.3">
      <c r="A324" t="s">
        <v>353</v>
      </c>
      <c r="B324" t="s">
        <v>18</v>
      </c>
      <c r="C324">
        <f t="shared" si="40"/>
        <v>1</v>
      </c>
      <c r="D324" t="s">
        <v>25</v>
      </c>
      <c r="E324">
        <f t="shared" si="41"/>
        <v>1</v>
      </c>
      <c r="F324">
        <v>2</v>
      </c>
      <c r="G324" t="s">
        <v>30</v>
      </c>
      <c r="H324">
        <f t="shared" si="42"/>
        <v>0</v>
      </c>
      <c r="I324" t="s">
        <v>19</v>
      </c>
      <c r="J324">
        <f t="shared" si="43"/>
        <v>0</v>
      </c>
      <c r="K324">
        <v>3601</v>
      </c>
      <c r="L324">
        <v>1590</v>
      </c>
      <c r="M324">
        <v>128000</v>
      </c>
      <c r="N324">
        <v>360</v>
      </c>
      <c r="O324">
        <v>1</v>
      </c>
      <c r="P324" t="s">
        <v>26</v>
      </c>
      <c r="Q324">
        <f t="shared" si="44"/>
        <v>0</v>
      </c>
      <c r="R324">
        <f t="shared" si="45"/>
        <v>0</v>
      </c>
      <c r="S324">
        <f t="shared" si="46"/>
        <v>1</v>
      </c>
      <c r="T324" t="s">
        <v>22</v>
      </c>
      <c r="U324">
        <f t="shared" si="47"/>
        <v>1</v>
      </c>
      <c r="V324">
        <v>8.1892445257359014</v>
      </c>
      <c r="W324">
        <v>7.3721180283377867</v>
      </c>
      <c r="X324">
        <v>11.759785542901755</v>
      </c>
      <c r="Y324" t="s">
        <v>23</v>
      </c>
    </row>
    <row r="325" spans="1:25" x14ac:dyDescent="0.3">
      <c r="A325" t="s">
        <v>354</v>
      </c>
      <c r="B325" t="s">
        <v>48</v>
      </c>
      <c r="C325">
        <f t="shared" si="40"/>
        <v>0</v>
      </c>
      <c r="D325" t="s">
        <v>19</v>
      </c>
      <c r="E325">
        <f t="shared" si="41"/>
        <v>0</v>
      </c>
      <c r="F325">
        <v>0</v>
      </c>
      <c r="G325" t="s">
        <v>20</v>
      </c>
      <c r="H325">
        <f t="shared" si="42"/>
        <v>1</v>
      </c>
      <c r="I325" t="s">
        <v>19</v>
      </c>
      <c r="J325">
        <f t="shared" si="43"/>
        <v>0</v>
      </c>
      <c r="K325">
        <v>3166</v>
      </c>
      <c r="L325">
        <v>2985</v>
      </c>
      <c r="M325">
        <v>132000</v>
      </c>
      <c r="N325">
        <v>360</v>
      </c>
      <c r="O325">
        <v>1</v>
      </c>
      <c r="P325" t="s">
        <v>26</v>
      </c>
      <c r="Q325">
        <f t="shared" si="44"/>
        <v>0</v>
      </c>
      <c r="R325">
        <f t="shared" si="45"/>
        <v>0</v>
      </c>
      <c r="S325">
        <f t="shared" si="46"/>
        <v>1</v>
      </c>
      <c r="T325" t="s">
        <v>22</v>
      </c>
      <c r="U325">
        <f t="shared" si="47"/>
        <v>1</v>
      </c>
      <c r="V325">
        <v>8.0605400465386392</v>
      </c>
      <c r="W325">
        <v>8.0016899780991348</v>
      </c>
      <c r="X325">
        <v>11.790557201568507</v>
      </c>
      <c r="Y325" t="s">
        <v>23</v>
      </c>
    </row>
    <row r="326" spans="1:25" x14ac:dyDescent="0.3">
      <c r="A326" t="s">
        <v>355</v>
      </c>
      <c r="B326" t="s">
        <v>18</v>
      </c>
      <c r="C326">
        <f t="shared" si="40"/>
        <v>1</v>
      </c>
      <c r="D326" t="s">
        <v>25</v>
      </c>
      <c r="E326">
        <f t="shared" si="41"/>
        <v>1</v>
      </c>
      <c r="F326">
        <v>3</v>
      </c>
      <c r="G326" t="s">
        <v>20</v>
      </c>
      <c r="H326">
        <f t="shared" si="42"/>
        <v>1</v>
      </c>
      <c r="I326" t="s">
        <v>19</v>
      </c>
      <c r="J326">
        <f t="shared" si="43"/>
        <v>0</v>
      </c>
      <c r="K326">
        <v>15000</v>
      </c>
      <c r="L326">
        <v>0</v>
      </c>
      <c r="M326">
        <v>300000</v>
      </c>
      <c r="N326">
        <v>360</v>
      </c>
      <c r="O326">
        <v>1</v>
      </c>
      <c r="P326" t="s">
        <v>26</v>
      </c>
      <c r="Q326">
        <f t="shared" si="44"/>
        <v>0</v>
      </c>
      <c r="R326">
        <f t="shared" si="45"/>
        <v>0</v>
      </c>
      <c r="S326">
        <f t="shared" si="46"/>
        <v>1</v>
      </c>
      <c r="T326" t="s">
        <v>22</v>
      </c>
      <c r="U326">
        <f t="shared" si="47"/>
        <v>1</v>
      </c>
      <c r="V326">
        <v>9.6158721445288897</v>
      </c>
      <c r="W326">
        <v>0</v>
      </c>
      <c r="X326">
        <v>12.611537753638338</v>
      </c>
      <c r="Y326" t="s">
        <v>23</v>
      </c>
    </row>
    <row r="327" spans="1:25" x14ac:dyDescent="0.3">
      <c r="A327" t="s">
        <v>356</v>
      </c>
      <c r="B327" t="s">
        <v>18</v>
      </c>
      <c r="C327">
        <f t="shared" si="40"/>
        <v>1</v>
      </c>
      <c r="D327" t="s">
        <v>25</v>
      </c>
      <c r="E327">
        <f t="shared" si="41"/>
        <v>1</v>
      </c>
      <c r="F327">
        <v>1</v>
      </c>
      <c r="G327" t="s">
        <v>20</v>
      </c>
      <c r="H327">
        <f t="shared" si="42"/>
        <v>1</v>
      </c>
      <c r="I327" t="s">
        <v>25</v>
      </c>
      <c r="J327">
        <f t="shared" si="43"/>
        <v>1</v>
      </c>
      <c r="K327">
        <v>8666</v>
      </c>
      <c r="L327">
        <v>4983</v>
      </c>
      <c r="M327">
        <v>376000</v>
      </c>
      <c r="N327">
        <v>360</v>
      </c>
      <c r="O327">
        <v>0</v>
      </c>
      <c r="P327" t="s">
        <v>26</v>
      </c>
      <c r="Q327">
        <f t="shared" si="44"/>
        <v>0</v>
      </c>
      <c r="R327">
        <f t="shared" si="45"/>
        <v>0</v>
      </c>
      <c r="S327">
        <f t="shared" si="46"/>
        <v>1</v>
      </c>
      <c r="T327" t="s">
        <v>27</v>
      </c>
      <c r="U327">
        <f t="shared" si="47"/>
        <v>0</v>
      </c>
      <c r="V327">
        <v>9.0672779891343449</v>
      </c>
      <c r="W327">
        <v>8.5139880604672893</v>
      </c>
      <c r="X327">
        <v>12.837344422372032</v>
      </c>
      <c r="Y327" t="s">
        <v>23</v>
      </c>
    </row>
    <row r="328" spans="1:25" x14ac:dyDescent="0.3">
      <c r="A328" t="s">
        <v>357</v>
      </c>
      <c r="B328" t="s">
        <v>18</v>
      </c>
      <c r="C328">
        <f t="shared" si="40"/>
        <v>1</v>
      </c>
      <c r="D328" t="s">
        <v>19</v>
      </c>
      <c r="E328">
        <f t="shared" si="41"/>
        <v>0</v>
      </c>
      <c r="F328">
        <v>0</v>
      </c>
      <c r="G328" t="s">
        <v>20</v>
      </c>
      <c r="H328">
        <f t="shared" si="42"/>
        <v>1</v>
      </c>
      <c r="I328" t="s">
        <v>19</v>
      </c>
      <c r="J328">
        <f t="shared" si="43"/>
        <v>0</v>
      </c>
      <c r="K328">
        <v>4917</v>
      </c>
      <c r="L328">
        <v>0</v>
      </c>
      <c r="M328">
        <v>130000</v>
      </c>
      <c r="N328">
        <v>360</v>
      </c>
      <c r="O328">
        <v>0</v>
      </c>
      <c r="P328" t="s">
        <v>26</v>
      </c>
      <c r="Q328">
        <f t="shared" si="44"/>
        <v>0</v>
      </c>
      <c r="R328">
        <f t="shared" si="45"/>
        <v>0</v>
      </c>
      <c r="S328">
        <f t="shared" si="46"/>
        <v>1</v>
      </c>
      <c r="T328" t="s">
        <v>22</v>
      </c>
      <c r="U328">
        <f t="shared" si="47"/>
        <v>1</v>
      </c>
      <c r="V328">
        <v>8.5006572227761374</v>
      </c>
      <c r="W328">
        <v>0</v>
      </c>
      <c r="X328">
        <v>11.77528972943772</v>
      </c>
      <c r="Y328" t="s">
        <v>23</v>
      </c>
    </row>
    <row r="329" spans="1:25" x14ac:dyDescent="0.3">
      <c r="A329" t="s">
        <v>358</v>
      </c>
      <c r="B329" t="s">
        <v>18</v>
      </c>
      <c r="C329">
        <f t="shared" si="40"/>
        <v>1</v>
      </c>
      <c r="D329" t="s">
        <v>25</v>
      </c>
      <c r="E329">
        <f t="shared" si="41"/>
        <v>1</v>
      </c>
      <c r="F329">
        <v>0</v>
      </c>
      <c r="G329" t="s">
        <v>20</v>
      </c>
      <c r="H329">
        <f t="shared" si="42"/>
        <v>1</v>
      </c>
      <c r="I329" t="s">
        <v>25</v>
      </c>
      <c r="J329">
        <f t="shared" si="43"/>
        <v>1</v>
      </c>
      <c r="K329">
        <v>5818</v>
      </c>
      <c r="L329">
        <v>2160</v>
      </c>
      <c r="M329">
        <v>184000</v>
      </c>
      <c r="N329">
        <v>360</v>
      </c>
      <c r="O329">
        <v>1</v>
      </c>
      <c r="P329" t="s">
        <v>35</v>
      </c>
      <c r="Q329">
        <f t="shared" si="44"/>
        <v>0</v>
      </c>
      <c r="R329">
        <f t="shared" si="45"/>
        <v>1</v>
      </c>
      <c r="S329">
        <f t="shared" si="46"/>
        <v>0</v>
      </c>
      <c r="T329" t="s">
        <v>22</v>
      </c>
      <c r="U329">
        <f t="shared" si="47"/>
        <v>1</v>
      </c>
      <c r="V329">
        <v>8.66888370465667</v>
      </c>
      <c r="W329">
        <v>7.6783263565068864</v>
      </c>
      <c r="X329">
        <v>12.122691036591123</v>
      </c>
      <c r="Y329" t="s">
        <v>23</v>
      </c>
    </row>
    <row r="330" spans="1:25" x14ac:dyDescent="0.3">
      <c r="A330" t="s">
        <v>359</v>
      </c>
      <c r="B330" t="s">
        <v>48</v>
      </c>
      <c r="C330">
        <f t="shared" si="40"/>
        <v>0</v>
      </c>
      <c r="D330" t="s">
        <v>25</v>
      </c>
      <c r="E330">
        <f t="shared" si="41"/>
        <v>1</v>
      </c>
      <c r="F330">
        <v>0</v>
      </c>
      <c r="G330" t="s">
        <v>20</v>
      </c>
      <c r="H330">
        <f t="shared" si="42"/>
        <v>1</v>
      </c>
      <c r="I330" t="s">
        <v>19</v>
      </c>
      <c r="J330">
        <f t="shared" si="43"/>
        <v>0</v>
      </c>
      <c r="K330">
        <v>4333</v>
      </c>
      <c r="L330">
        <v>2451</v>
      </c>
      <c r="M330">
        <v>110000</v>
      </c>
      <c r="N330">
        <v>360</v>
      </c>
      <c r="O330">
        <v>1</v>
      </c>
      <c r="P330" t="s">
        <v>21</v>
      </c>
      <c r="Q330">
        <f t="shared" si="44"/>
        <v>1</v>
      </c>
      <c r="R330">
        <f t="shared" si="45"/>
        <v>0</v>
      </c>
      <c r="S330">
        <f t="shared" si="46"/>
        <v>0</v>
      </c>
      <c r="T330" t="s">
        <v>27</v>
      </c>
      <c r="U330">
        <f t="shared" si="47"/>
        <v>0</v>
      </c>
      <c r="V330">
        <v>8.3742461820963037</v>
      </c>
      <c r="W330">
        <v>7.8046592970561024</v>
      </c>
      <c r="X330">
        <v>11.608235644774552</v>
      </c>
      <c r="Y330" t="s">
        <v>23</v>
      </c>
    </row>
    <row r="331" spans="1:25" x14ac:dyDescent="0.3">
      <c r="A331" t="s">
        <v>360</v>
      </c>
      <c r="B331" t="s">
        <v>48</v>
      </c>
      <c r="C331">
        <f t="shared" si="40"/>
        <v>0</v>
      </c>
      <c r="D331" t="s">
        <v>19</v>
      </c>
      <c r="E331">
        <f t="shared" si="41"/>
        <v>0</v>
      </c>
      <c r="F331">
        <v>0</v>
      </c>
      <c r="G331" t="s">
        <v>20</v>
      </c>
      <c r="H331">
        <f t="shared" si="42"/>
        <v>1</v>
      </c>
      <c r="I331" t="s">
        <v>19</v>
      </c>
      <c r="J331">
        <f t="shared" si="43"/>
        <v>0</v>
      </c>
      <c r="K331">
        <v>2500</v>
      </c>
      <c r="L331">
        <v>0</v>
      </c>
      <c r="M331">
        <v>67000</v>
      </c>
      <c r="N331">
        <v>360</v>
      </c>
      <c r="O331">
        <v>1</v>
      </c>
      <c r="P331" t="s">
        <v>21</v>
      </c>
      <c r="Q331">
        <f t="shared" si="44"/>
        <v>1</v>
      </c>
      <c r="R331">
        <f t="shared" si="45"/>
        <v>0</v>
      </c>
      <c r="S331">
        <f t="shared" si="46"/>
        <v>0</v>
      </c>
      <c r="T331" t="s">
        <v>22</v>
      </c>
      <c r="U331">
        <f t="shared" si="47"/>
        <v>1</v>
      </c>
      <c r="V331">
        <v>7.8244459308776193</v>
      </c>
      <c r="W331">
        <v>0</v>
      </c>
      <c r="X331">
        <v>11.112447898373103</v>
      </c>
      <c r="Y331" t="s">
        <v>23</v>
      </c>
    </row>
    <row r="332" spans="1:25" x14ac:dyDescent="0.3">
      <c r="A332" t="s">
        <v>361</v>
      </c>
      <c r="B332" t="s">
        <v>18</v>
      </c>
      <c r="C332">
        <f t="shared" si="40"/>
        <v>1</v>
      </c>
      <c r="D332" t="s">
        <v>19</v>
      </c>
      <c r="E332">
        <f t="shared" si="41"/>
        <v>0</v>
      </c>
      <c r="F332">
        <v>1</v>
      </c>
      <c r="G332" t="s">
        <v>20</v>
      </c>
      <c r="H332">
        <f t="shared" si="42"/>
        <v>1</v>
      </c>
      <c r="I332" t="s">
        <v>19</v>
      </c>
      <c r="J332">
        <f t="shared" si="43"/>
        <v>0</v>
      </c>
      <c r="K332">
        <v>4384</v>
      </c>
      <c r="L332">
        <v>1793</v>
      </c>
      <c r="M332">
        <v>117000</v>
      </c>
      <c r="N332">
        <v>360</v>
      </c>
      <c r="O332">
        <v>1</v>
      </c>
      <c r="P332" t="s">
        <v>21</v>
      </c>
      <c r="Q332">
        <f t="shared" si="44"/>
        <v>1</v>
      </c>
      <c r="R332">
        <f t="shared" si="45"/>
        <v>0</v>
      </c>
      <c r="S332">
        <f t="shared" si="46"/>
        <v>0</v>
      </c>
      <c r="T332" t="s">
        <v>22</v>
      </c>
      <c r="U332">
        <f t="shared" si="47"/>
        <v>1</v>
      </c>
      <c r="V332">
        <v>8.3859449048062835</v>
      </c>
      <c r="W332">
        <v>7.4922030426187414</v>
      </c>
      <c r="X332">
        <v>11.669929213779893</v>
      </c>
      <c r="Y332" t="s">
        <v>23</v>
      </c>
    </row>
    <row r="333" spans="1:25" x14ac:dyDescent="0.3">
      <c r="A333" t="s">
        <v>362</v>
      </c>
      <c r="B333" t="s">
        <v>18</v>
      </c>
      <c r="C333">
        <f t="shared" si="40"/>
        <v>1</v>
      </c>
      <c r="D333" t="s">
        <v>19</v>
      </c>
      <c r="E333">
        <f t="shared" si="41"/>
        <v>0</v>
      </c>
      <c r="F333">
        <v>0</v>
      </c>
      <c r="G333" t="s">
        <v>20</v>
      </c>
      <c r="H333">
        <f t="shared" si="42"/>
        <v>1</v>
      </c>
      <c r="I333" t="s">
        <v>19</v>
      </c>
      <c r="J333">
        <f t="shared" si="43"/>
        <v>0</v>
      </c>
      <c r="K333">
        <v>2935</v>
      </c>
      <c r="L333">
        <v>0</v>
      </c>
      <c r="M333">
        <v>98000</v>
      </c>
      <c r="N333">
        <v>360</v>
      </c>
      <c r="O333">
        <v>1</v>
      </c>
      <c r="P333" t="s">
        <v>35</v>
      </c>
      <c r="Q333">
        <f t="shared" si="44"/>
        <v>0</v>
      </c>
      <c r="R333">
        <f t="shared" si="45"/>
        <v>1</v>
      </c>
      <c r="S333">
        <f t="shared" si="46"/>
        <v>0</v>
      </c>
      <c r="T333" t="s">
        <v>22</v>
      </c>
      <c r="U333">
        <f t="shared" si="47"/>
        <v>1</v>
      </c>
      <c r="V333">
        <v>7.984803389734406</v>
      </c>
      <c r="W333">
        <v>0</v>
      </c>
      <c r="X333">
        <v>11.492722757652709</v>
      </c>
      <c r="Y333" t="s">
        <v>23</v>
      </c>
    </row>
    <row r="334" spans="1:25" x14ac:dyDescent="0.3">
      <c r="A334" t="s">
        <v>363</v>
      </c>
      <c r="B334" t="s">
        <v>18</v>
      </c>
      <c r="C334">
        <f t="shared" si="40"/>
        <v>1</v>
      </c>
      <c r="D334" t="s">
        <v>19</v>
      </c>
      <c r="E334">
        <f t="shared" si="41"/>
        <v>0</v>
      </c>
      <c r="F334">
        <v>0</v>
      </c>
      <c r="G334" t="s">
        <v>20</v>
      </c>
      <c r="H334">
        <f t="shared" si="42"/>
        <v>1</v>
      </c>
      <c r="I334" t="s">
        <v>19</v>
      </c>
      <c r="J334">
        <f t="shared" si="43"/>
        <v>0</v>
      </c>
      <c r="K334">
        <v>2833</v>
      </c>
      <c r="L334">
        <v>0</v>
      </c>
      <c r="M334">
        <v>71000</v>
      </c>
      <c r="N334">
        <v>360</v>
      </c>
      <c r="O334">
        <v>1</v>
      </c>
      <c r="P334" t="s">
        <v>21</v>
      </c>
      <c r="Q334">
        <f t="shared" si="44"/>
        <v>1</v>
      </c>
      <c r="R334">
        <f t="shared" si="45"/>
        <v>0</v>
      </c>
      <c r="S334">
        <f t="shared" si="46"/>
        <v>0</v>
      </c>
      <c r="T334" t="s">
        <v>22</v>
      </c>
      <c r="U334">
        <f t="shared" si="47"/>
        <v>1</v>
      </c>
      <c r="V334">
        <v>7.949444420250626</v>
      </c>
      <c r="W334">
        <v>0</v>
      </c>
      <c r="X334">
        <v>11.170435156023453</v>
      </c>
      <c r="Y334" t="s">
        <v>23</v>
      </c>
    </row>
    <row r="335" spans="1:25" x14ac:dyDescent="0.3">
      <c r="A335" t="s">
        <v>364</v>
      </c>
      <c r="B335" t="s">
        <v>18</v>
      </c>
      <c r="C335">
        <f t="shared" si="40"/>
        <v>1</v>
      </c>
      <c r="D335" t="s">
        <v>25</v>
      </c>
      <c r="E335">
        <f t="shared" si="41"/>
        <v>1</v>
      </c>
      <c r="F335">
        <v>0</v>
      </c>
      <c r="G335" t="s">
        <v>20</v>
      </c>
      <c r="H335">
        <f t="shared" si="42"/>
        <v>1</v>
      </c>
      <c r="I335" t="s">
        <v>19</v>
      </c>
      <c r="J335">
        <f t="shared" si="43"/>
        <v>0</v>
      </c>
      <c r="K335">
        <v>63337</v>
      </c>
      <c r="L335">
        <v>0</v>
      </c>
      <c r="M335">
        <v>490000</v>
      </c>
      <c r="N335">
        <v>180</v>
      </c>
      <c r="O335">
        <v>1</v>
      </c>
      <c r="P335" t="s">
        <v>21</v>
      </c>
      <c r="Q335">
        <f t="shared" si="44"/>
        <v>1</v>
      </c>
      <c r="R335">
        <f t="shared" si="45"/>
        <v>0</v>
      </c>
      <c r="S335">
        <f t="shared" si="46"/>
        <v>0</v>
      </c>
      <c r="T335" t="s">
        <v>22</v>
      </c>
      <c r="U335">
        <f t="shared" si="47"/>
        <v>1</v>
      </c>
      <c r="V335">
        <v>11.05624074397049</v>
      </c>
      <c r="W335">
        <v>0</v>
      </c>
      <c r="X335">
        <v>13.102160670086809</v>
      </c>
      <c r="Y335" t="s">
        <v>46</v>
      </c>
    </row>
    <row r="336" spans="1:25" x14ac:dyDescent="0.3">
      <c r="A336" t="s">
        <v>365</v>
      </c>
      <c r="B336" t="s">
        <v>18</v>
      </c>
      <c r="C336">
        <f t="shared" si="40"/>
        <v>1</v>
      </c>
      <c r="D336" t="s">
        <v>25</v>
      </c>
      <c r="E336">
        <f t="shared" si="41"/>
        <v>1</v>
      </c>
      <c r="F336">
        <v>1</v>
      </c>
      <c r="G336" t="s">
        <v>20</v>
      </c>
      <c r="H336">
        <f t="shared" si="42"/>
        <v>1</v>
      </c>
      <c r="I336" t="s">
        <v>25</v>
      </c>
      <c r="J336">
        <f t="shared" si="43"/>
        <v>1</v>
      </c>
      <c r="K336">
        <v>9833</v>
      </c>
      <c r="L336">
        <v>1833</v>
      </c>
      <c r="M336">
        <v>182000</v>
      </c>
      <c r="N336">
        <v>180</v>
      </c>
      <c r="O336">
        <v>1</v>
      </c>
      <c r="P336" t="s">
        <v>21</v>
      </c>
      <c r="Q336">
        <f t="shared" si="44"/>
        <v>1</v>
      </c>
      <c r="R336">
        <f t="shared" si="45"/>
        <v>0</v>
      </c>
      <c r="S336">
        <f t="shared" si="46"/>
        <v>0</v>
      </c>
      <c r="T336" t="s">
        <v>22</v>
      </c>
      <c r="U336">
        <f t="shared" si="47"/>
        <v>1</v>
      </c>
      <c r="V336">
        <v>9.1936010479718853</v>
      </c>
      <c r="W336">
        <v>7.51425465281641</v>
      </c>
      <c r="X336">
        <v>12.111761966058932</v>
      </c>
      <c r="Y336" t="s">
        <v>46</v>
      </c>
    </row>
    <row r="337" spans="1:25" x14ac:dyDescent="0.3">
      <c r="A337" t="s">
        <v>366</v>
      </c>
      <c r="B337" t="s">
        <v>18</v>
      </c>
      <c r="C337">
        <f t="shared" si="40"/>
        <v>1</v>
      </c>
      <c r="D337" t="s">
        <v>25</v>
      </c>
      <c r="E337">
        <f t="shared" si="41"/>
        <v>1</v>
      </c>
      <c r="F337">
        <v>0</v>
      </c>
      <c r="G337" t="s">
        <v>20</v>
      </c>
      <c r="H337">
        <f t="shared" si="42"/>
        <v>1</v>
      </c>
      <c r="I337" t="s">
        <v>25</v>
      </c>
      <c r="J337">
        <f t="shared" si="43"/>
        <v>1</v>
      </c>
      <c r="K337">
        <v>5503</v>
      </c>
      <c r="L337">
        <v>4490</v>
      </c>
      <c r="M337">
        <v>70000</v>
      </c>
      <c r="N337">
        <v>360</v>
      </c>
      <c r="O337">
        <v>1</v>
      </c>
      <c r="P337" t="s">
        <v>35</v>
      </c>
      <c r="Q337">
        <f t="shared" si="44"/>
        <v>0</v>
      </c>
      <c r="R337">
        <f t="shared" si="45"/>
        <v>1</v>
      </c>
      <c r="S337">
        <f t="shared" si="46"/>
        <v>0</v>
      </c>
      <c r="T337" t="s">
        <v>22</v>
      </c>
      <c r="U337">
        <f t="shared" si="47"/>
        <v>1</v>
      </c>
      <c r="V337">
        <v>8.6132303796131797</v>
      </c>
      <c r="W337">
        <v>8.4098306730877379</v>
      </c>
      <c r="X337">
        <v>11.156250521031495</v>
      </c>
      <c r="Y337" t="s">
        <v>23</v>
      </c>
    </row>
    <row r="338" spans="1:25" x14ac:dyDescent="0.3">
      <c r="A338" t="s">
        <v>367</v>
      </c>
      <c r="B338" t="s">
        <v>18</v>
      </c>
      <c r="C338">
        <f t="shared" si="40"/>
        <v>1</v>
      </c>
      <c r="D338" t="s">
        <v>25</v>
      </c>
      <c r="E338">
        <f t="shared" si="41"/>
        <v>1</v>
      </c>
      <c r="F338">
        <v>1</v>
      </c>
      <c r="G338" t="s">
        <v>20</v>
      </c>
      <c r="H338">
        <f t="shared" si="42"/>
        <v>1</v>
      </c>
      <c r="I338" t="s">
        <v>19</v>
      </c>
      <c r="J338">
        <f t="shared" si="43"/>
        <v>0</v>
      </c>
      <c r="K338">
        <v>5250</v>
      </c>
      <c r="L338">
        <v>688</v>
      </c>
      <c r="M338">
        <v>160000</v>
      </c>
      <c r="N338">
        <v>360</v>
      </c>
      <c r="O338">
        <v>1</v>
      </c>
      <c r="P338" t="s">
        <v>26</v>
      </c>
      <c r="Q338">
        <f t="shared" si="44"/>
        <v>0</v>
      </c>
      <c r="R338">
        <f t="shared" si="45"/>
        <v>0</v>
      </c>
      <c r="S338">
        <f t="shared" si="46"/>
        <v>1</v>
      </c>
      <c r="T338" t="s">
        <v>22</v>
      </c>
      <c r="U338">
        <f t="shared" si="47"/>
        <v>1</v>
      </c>
      <c r="V338">
        <v>8.5661738136378585</v>
      </c>
      <c r="W338">
        <v>6.5352412710136587</v>
      </c>
      <c r="X338">
        <v>11.982929094215963</v>
      </c>
      <c r="Y338" t="s">
        <v>23</v>
      </c>
    </row>
    <row r="339" spans="1:25" x14ac:dyDescent="0.3">
      <c r="A339" t="s">
        <v>368</v>
      </c>
      <c r="B339" t="s">
        <v>18</v>
      </c>
      <c r="C339">
        <f t="shared" si="40"/>
        <v>1</v>
      </c>
      <c r="D339" t="s">
        <v>25</v>
      </c>
      <c r="E339">
        <f t="shared" si="41"/>
        <v>1</v>
      </c>
      <c r="F339">
        <v>2</v>
      </c>
      <c r="G339" t="s">
        <v>20</v>
      </c>
      <c r="H339">
        <f t="shared" si="42"/>
        <v>1</v>
      </c>
      <c r="I339" t="s">
        <v>25</v>
      </c>
      <c r="J339">
        <f t="shared" si="43"/>
        <v>1</v>
      </c>
      <c r="K339">
        <v>2500</v>
      </c>
      <c r="L339">
        <v>4600</v>
      </c>
      <c r="M339">
        <v>176000</v>
      </c>
      <c r="N339">
        <v>360</v>
      </c>
      <c r="O339">
        <v>1</v>
      </c>
      <c r="P339" t="s">
        <v>26</v>
      </c>
      <c r="Q339">
        <f t="shared" si="44"/>
        <v>0</v>
      </c>
      <c r="R339">
        <f t="shared" si="45"/>
        <v>0</v>
      </c>
      <c r="S339">
        <f t="shared" si="46"/>
        <v>1</v>
      </c>
      <c r="T339" t="s">
        <v>22</v>
      </c>
      <c r="U339">
        <f t="shared" si="47"/>
        <v>1</v>
      </c>
      <c r="V339">
        <v>7.8244459308776193</v>
      </c>
      <c r="W339">
        <v>8.4340289501554686</v>
      </c>
      <c r="X339">
        <v>12.078239274020289</v>
      </c>
      <c r="Y339" t="s">
        <v>23</v>
      </c>
    </row>
    <row r="340" spans="1:25" x14ac:dyDescent="0.3">
      <c r="A340" t="s">
        <v>369</v>
      </c>
      <c r="B340" t="s">
        <v>48</v>
      </c>
      <c r="C340">
        <f t="shared" si="40"/>
        <v>0</v>
      </c>
      <c r="D340" t="s">
        <v>19</v>
      </c>
      <c r="E340">
        <f t="shared" si="41"/>
        <v>0</v>
      </c>
      <c r="F340">
        <v>3</v>
      </c>
      <c r="G340" t="s">
        <v>30</v>
      </c>
      <c r="H340">
        <f t="shared" si="42"/>
        <v>0</v>
      </c>
      <c r="I340" t="s">
        <v>19</v>
      </c>
      <c r="J340">
        <f t="shared" si="43"/>
        <v>0</v>
      </c>
      <c r="K340">
        <v>1830</v>
      </c>
      <c r="L340">
        <v>0</v>
      </c>
      <c r="M340">
        <v>128000</v>
      </c>
      <c r="N340">
        <v>360</v>
      </c>
      <c r="O340">
        <v>0</v>
      </c>
      <c r="P340" t="s">
        <v>21</v>
      </c>
      <c r="Q340">
        <f t="shared" si="44"/>
        <v>1</v>
      </c>
      <c r="R340">
        <f t="shared" si="45"/>
        <v>0</v>
      </c>
      <c r="S340">
        <f t="shared" si="46"/>
        <v>0</v>
      </c>
      <c r="T340" t="s">
        <v>27</v>
      </c>
      <c r="U340">
        <f t="shared" si="47"/>
        <v>0</v>
      </c>
      <c r="V340">
        <v>7.5126175446745096</v>
      </c>
      <c r="W340">
        <v>0</v>
      </c>
      <c r="X340">
        <v>11.759785542901755</v>
      </c>
      <c r="Y340" t="s">
        <v>23</v>
      </c>
    </row>
    <row r="341" spans="1:25" x14ac:dyDescent="0.3">
      <c r="A341" t="s">
        <v>370</v>
      </c>
      <c r="B341" t="s">
        <v>48</v>
      </c>
      <c r="C341">
        <f t="shared" si="40"/>
        <v>0</v>
      </c>
      <c r="D341" t="s">
        <v>19</v>
      </c>
      <c r="E341">
        <f t="shared" si="41"/>
        <v>0</v>
      </c>
      <c r="F341">
        <v>0</v>
      </c>
      <c r="G341" t="s">
        <v>20</v>
      </c>
      <c r="H341">
        <f t="shared" si="42"/>
        <v>1</v>
      </c>
      <c r="I341" t="s">
        <v>19</v>
      </c>
      <c r="J341">
        <f t="shared" si="43"/>
        <v>0</v>
      </c>
      <c r="K341">
        <v>4160</v>
      </c>
      <c r="L341">
        <v>0</v>
      </c>
      <c r="M341">
        <v>71000</v>
      </c>
      <c r="N341">
        <v>360</v>
      </c>
      <c r="O341">
        <v>1</v>
      </c>
      <c r="P341" t="s">
        <v>35</v>
      </c>
      <c r="Q341">
        <f t="shared" si="44"/>
        <v>0</v>
      </c>
      <c r="R341">
        <f t="shared" si="45"/>
        <v>1</v>
      </c>
      <c r="S341">
        <f t="shared" si="46"/>
        <v>0</v>
      </c>
      <c r="T341" t="s">
        <v>22</v>
      </c>
      <c r="U341">
        <f t="shared" si="47"/>
        <v>1</v>
      </c>
      <c r="V341">
        <v>8.3335107089829421</v>
      </c>
      <c r="W341">
        <v>0</v>
      </c>
      <c r="X341">
        <v>11.170435156023453</v>
      </c>
      <c r="Y341" t="s">
        <v>23</v>
      </c>
    </row>
    <row r="342" spans="1:25" x14ac:dyDescent="0.3">
      <c r="A342" t="s">
        <v>371</v>
      </c>
      <c r="B342" t="s">
        <v>18</v>
      </c>
      <c r="C342">
        <f t="shared" si="40"/>
        <v>1</v>
      </c>
      <c r="D342" t="s">
        <v>25</v>
      </c>
      <c r="E342">
        <f t="shared" si="41"/>
        <v>1</v>
      </c>
      <c r="F342">
        <v>3</v>
      </c>
      <c r="G342" t="s">
        <v>30</v>
      </c>
      <c r="H342">
        <f t="shared" si="42"/>
        <v>0</v>
      </c>
      <c r="I342" t="s">
        <v>19</v>
      </c>
      <c r="J342">
        <f t="shared" si="43"/>
        <v>0</v>
      </c>
      <c r="K342">
        <v>2647</v>
      </c>
      <c r="L342">
        <v>1587</v>
      </c>
      <c r="M342">
        <v>173000</v>
      </c>
      <c r="N342">
        <v>360</v>
      </c>
      <c r="O342">
        <v>1</v>
      </c>
      <c r="P342" t="s">
        <v>26</v>
      </c>
      <c r="Q342">
        <f t="shared" si="44"/>
        <v>0</v>
      </c>
      <c r="R342">
        <f t="shared" si="45"/>
        <v>0</v>
      </c>
      <c r="S342">
        <f t="shared" si="46"/>
        <v>1</v>
      </c>
      <c r="T342" t="s">
        <v>27</v>
      </c>
      <c r="U342">
        <f t="shared" si="47"/>
        <v>0</v>
      </c>
      <c r="V342">
        <v>7.8815599170568991</v>
      </c>
      <c r="W342">
        <v>7.3702306418070807</v>
      </c>
      <c r="X342">
        <v>12.061046873479915</v>
      </c>
      <c r="Y342" t="s">
        <v>23</v>
      </c>
    </row>
    <row r="343" spans="1:25" x14ac:dyDescent="0.3">
      <c r="A343" t="s">
        <v>372</v>
      </c>
      <c r="B343" t="s">
        <v>48</v>
      </c>
      <c r="C343">
        <f t="shared" si="40"/>
        <v>0</v>
      </c>
      <c r="D343" t="s">
        <v>19</v>
      </c>
      <c r="E343">
        <f t="shared" si="41"/>
        <v>0</v>
      </c>
      <c r="F343">
        <v>0</v>
      </c>
      <c r="G343" t="s">
        <v>20</v>
      </c>
      <c r="H343">
        <f t="shared" si="42"/>
        <v>1</v>
      </c>
      <c r="I343" t="s">
        <v>19</v>
      </c>
      <c r="J343">
        <f t="shared" si="43"/>
        <v>0</v>
      </c>
      <c r="K343">
        <v>2378</v>
      </c>
      <c r="L343">
        <v>0</v>
      </c>
      <c r="M343">
        <v>46000</v>
      </c>
      <c r="N343">
        <v>360</v>
      </c>
      <c r="O343">
        <v>1</v>
      </c>
      <c r="P343" t="s">
        <v>26</v>
      </c>
      <c r="Q343">
        <f t="shared" si="44"/>
        <v>0</v>
      </c>
      <c r="R343">
        <f t="shared" si="45"/>
        <v>0</v>
      </c>
      <c r="S343">
        <f t="shared" si="46"/>
        <v>1</v>
      </c>
      <c r="T343" t="s">
        <v>27</v>
      </c>
      <c r="U343">
        <f t="shared" si="47"/>
        <v>0</v>
      </c>
      <c r="V343">
        <v>7.7744355103029577</v>
      </c>
      <c r="W343">
        <v>0</v>
      </c>
      <c r="X343">
        <v>10.736396675471232</v>
      </c>
      <c r="Y343" t="s">
        <v>23</v>
      </c>
    </row>
    <row r="344" spans="1:25" x14ac:dyDescent="0.3">
      <c r="A344" t="s">
        <v>373</v>
      </c>
      <c r="B344" t="s">
        <v>18</v>
      </c>
      <c r="C344">
        <f t="shared" si="40"/>
        <v>1</v>
      </c>
      <c r="D344" t="s">
        <v>25</v>
      </c>
      <c r="E344">
        <f t="shared" si="41"/>
        <v>1</v>
      </c>
      <c r="F344">
        <v>1</v>
      </c>
      <c r="G344" t="s">
        <v>30</v>
      </c>
      <c r="H344">
        <f t="shared" si="42"/>
        <v>0</v>
      </c>
      <c r="I344" t="s">
        <v>19</v>
      </c>
      <c r="J344">
        <f t="shared" si="43"/>
        <v>0</v>
      </c>
      <c r="K344">
        <v>4554</v>
      </c>
      <c r="L344">
        <v>1229</v>
      </c>
      <c r="M344">
        <v>158000</v>
      </c>
      <c r="N344">
        <v>360</v>
      </c>
      <c r="O344">
        <v>1</v>
      </c>
      <c r="P344" t="s">
        <v>21</v>
      </c>
      <c r="Q344">
        <f t="shared" si="44"/>
        <v>1</v>
      </c>
      <c r="R344">
        <f t="shared" si="45"/>
        <v>0</v>
      </c>
      <c r="S344">
        <f t="shared" si="46"/>
        <v>0</v>
      </c>
      <c r="T344" t="s">
        <v>22</v>
      </c>
      <c r="U344">
        <f t="shared" si="47"/>
        <v>1</v>
      </c>
      <c r="V344">
        <v>8.4239808096940578</v>
      </c>
      <c r="W344">
        <v>7.114769448366463</v>
      </c>
      <c r="X344">
        <v>11.970350312009105</v>
      </c>
      <c r="Y344" t="s">
        <v>23</v>
      </c>
    </row>
    <row r="345" spans="1:25" x14ac:dyDescent="0.3">
      <c r="A345" t="s">
        <v>374</v>
      </c>
      <c r="B345" t="s">
        <v>18</v>
      </c>
      <c r="C345">
        <f t="shared" si="40"/>
        <v>1</v>
      </c>
      <c r="D345" t="s">
        <v>25</v>
      </c>
      <c r="E345">
        <f t="shared" si="41"/>
        <v>1</v>
      </c>
      <c r="F345">
        <v>3</v>
      </c>
      <c r="G345" t="s">
        <v>30</v>
      </c>
      <c r="H345">
        <f t="shared" si="42"/>
        <v>0</v>
      </c>
      <c r="I345" t="s">
        <v>19</v>
      </c>
      <c r="J345">
        <f t="shared" si="43"/>
        <v>0</v>
      </c>
      <c r="K345">
        <v>3173</v>
      </c>
      <c r="L345">
        <v>0</v>
      </c>
      <c r="M345">
        <v>74000</v>
      </c>
      <c r="N345">
        <v>360</v>
      </c>
      <c r="O345">
        <v>1</v>
      </c>
      <c r="P345" t="s">
        <v>35</v>
      </c>
      <c r="Q345">
        <f t="shared" si="44"/>
        <v>0</v>
      </c>
      <c r="R345">
        <f t="shared" si="45"/>
        <v>1</v>
      </c>
      <c r="S345">
        <f t="shared" si="46"/>
        <v>0</v>
      </c>
      <c r="T345" t="s">
        <v>22</v>
      </c>
      <c r="U345">
        <f t="shared" si="47"/>
        <v>1</v>
      </c>
      <c r="V345">
        <v>8.0627479010863539</v>
      </c>
      <c r="W345">
        <v>0</v>
      </c>
      <c r="X345">
        <v>11.211820372186306</v>
      </c>
      <c r="Y345" t="s">
        <v>23</v>
      </c>
    </row>
    <row r="346" spans="1:25" x14ac:dyDescent="0.3">
      <c r="A346" t="s">
        <v>375</v>
      </c>
      <c r="B346" t="s">
        <v>18</v>
      </c>
      <c r="C346">
        <f t="shared" si="40"/>
        <v>1</v>
      </c>
      <c r="D346" t="s">
        <v>25</v>
      </c>
      <c r="E346">
        <f t="shared" si="41"/>
        <v>1</v>
      </c>
      <c r="F346">
        <v>2</v>
      </c>
      <c r="G346" t="s">
        <v>20</v>
      </c>
      <c r="H346">
        <f t="shared" si="42"/>
        <v>1</v>
      </c>
      <c r="I346" t="s">
        <v>19</v>
      </c>
      <c r="J346">
        <f t="shared" si="43"/>
        <v>0</v>
      </c>
      <c r="K346">
        <v>2583</v>
      </c>
      <c r="L346">
        <v>2330</v>
      </c>
      <c r="M346">
        <v>125000</v>
      </c>
      <c r="N346">
        <v>360</v>
      </c>
      <c r="O346">
        <v>1</v>
      </c>
      <c r="P346" t="s">
        <v>26</v>
      </c>
      <c r="Q346">
        <f t="shared" si="44"/>
        <v>0</v>
      </c>
      <c r="R346">
        <f t="shared" si="45"/>
        <v>0</v>
      </c>
      <c r="S346">
        <f t="shared" si="46"/>
        <v>1</v>
      </c>
      <c r="T346" t="s">
        <v>22</v>
      </c>
      <c r="U346">
        <f t="shared" si="47"/>
        <v>1</v>
      </c>
      <c r="V346">
        <v>7.8570938649024926</v>
      </c>
      <c r="W346">
        <v>7.7540526390357574</v>
      </c>
      <c r="X346">
        <v>11.736069016284437</v>
      </c>
      <c r="Y346" t="s">
        <v>23</v>
      </c>
    </row>
    <row r="347" spans="1:25" x14ac:dyDescent="0.3">
      <c r="A347" t="s">
        <v>376</v>
      </c>
      <c r="B347" t="s">
        <v>18</v>
      </c>
      <c r="C347">
        <f t="shared" si="40"/>
        <v>1</v>
      </c>
      <c r="D347" t="s">
        <v>25</v>
      </c>
      <c r="E347">
        <f t="shared" si="41"/>
        <v>1</v>
      </c>
      <c r="F347">
        <v>0</v>
      </c>
      <c r="G347" t="s">
        <v>20</v>
      </c>
      <c r="H347">
        <f t="shared" si="42"/>
        <v>1</v>
      </c>
      <c r="I347" t="s">
        <v>19</v>
      </c>
      <c r="J347">
        <f t="shared" si="43"/>
        <v>0</v>
      </c>
      <c r="K347">
        <v>2499</v>
      </c>
      <c r="L347">
        <v>2458</v>
      </c>
      <c r="M347">
        <v>160000</v>
      </c>
      <c r="N347">
        <v>360</v>
      </c>
      <c r="O347">
        <v>1</v>
      </c>
      <c r="P347" t="s">
        <v>35</v>
      </c>
      <c r="Q347">
        <f t="shared" si="44"/>
        <v>0</v>
      </c>
      <c r="R347">
        <f t="shared" si="45"/>
        <v>1</v>
      </c>
      <c r="S347">
        <f t="shared" si="46"/>
        <v>0</v>
      </c>
      <c r="T347" t="s">
        <v>22</v>
      </c>
      <c r="U347">
        <f t="shared" si="47"/>
        <v>1</v>
      </c>
      <c r="V347">
        <v>7.8240460108562919</v>
      </c>
      <c r="W347">
        <v>7.8075100422161929</v>
      </c>
      <c r="X347">
        <v>11.982929094215963</v>
      </c>
      <c r="Y347" t="s">
        <v>23</v>
      </c>
    </row>
    <row r="348" spans="1:25" x14ac:dyDescent="0.3">
      <c r="A348" t="s">
        <v>377</v>
      </c>
      <c r="B348" t="s">
        <v>18</v>
      </c>
      <c r="C348">
        <f t="shared" si="40"/>
        <v>1</v>
      </c>
      <c r="D348" t="s">
        <v>25</v>
      </c>
      <c r="E348">
        <f t="shared" si="41"/>
        <v>1</v>
      </c>
      <c r="F348">
        <v>0</v>
      </c>
      <c r="G348" t="s">
        <v>30</v>
      </c>
      <c r="H348">
        <f t="shared" si="42"/>
        <v>0</v>
      </c>
      <c r="I348" t="s">
        <v>19</v>
      </c>
      <c r="J348">
        <f t="shared" si="43"/>
        <v>0</v>
      </c>
      <c r="K348">
        <v>3523</v>
      </c>
      <c r="L348">
        <v>3230</v>
      </c>
      <c r="M348">
        <v>152000</v>
      </c>
      <c r="N348">
        <v>360</v>
      </c>
      <c r="O348">
        <v>0</v>
      </c>
      <c r="P348" t="s">
        <v>26</v>
      </c>
      <c r="Q348">
        <f t="shared" si="44"/>
        <v>0</v>
      </c>
      <c r="R348">
        <f t="shared" si="45"/>
        <v>0</v>
      </c>
      <c r="S348">
        <f t="shared" si="46"/>
        <v>1</v>
      </c>
      <c r="T348" t="s">
        <v>27</v>
      </c>
      <c r="U348">
        <f t="shared" si="47"/>
        <v>0</v>
      </c>
      <c r="V348">
        <v>8.1673519870560707</v>
      </c>
      <c r="W348">
        <v>8.0805469658244977</v>
      </c>
      <c r="X348">
        <v>11.931635799828413</v>
      </c>
      <c r="Y348" t="s">
        <v>23</v>
      </c>
    </row>
    <row r="349" spans="1:25" x14ac:dyDescent="0.3">
      <c r="A349" t="s">
        <v>378</v>
      </c>
      <c r="B349" t="s">
        <v>18</v>
      </c>
      <c r="C349">
        <f t="shared" si="40"/>
        <v>1</v>
      </c>
      <c r="D349" t="s">
        <v>25</v>
      </c>
      <c r="E349">
        <f t="shared" si="41"/>
        <v>1</v>
      </c>
      <c r="F349">
        <v>2</v>
      </c>
      <c r="G349" t="s">
        <v>30</v>
      </c>
      <c r="H349">
        <f t="shared" si="42"/>
        <v>0</v>
      </c>
      <c r="I349" t="s">
        <v>19</v>
      </c>
      <c r="J349">
        <f t="shared" si="43"/>
        <v>0</v>
      </c>
      <c r="K349">
        <v>3083</v>
      </c>
      <c r="L349">
        <v>2168</v>
      </c>
      <c r="M349">
        <v>126000</v>
      </c>
      <c r="N349">
        <v>360</v>
      </c>
      <c r="O349">
        <v>1</v>
      </c>
      <c r="P349" t="s">
        <v>21</v>
      </c>
      <c r="Q349">
        <f t="shared" si="44"/>
        <v>1</v>
      </c>
      <c r="R349">
        <f t="shared" si="45"/>
        <v>0</v>
      </c>
      <c r="S349">
        <f t="shared" si="46"/>
        <v>0</v>
      </c>
      <c r="T349" t="s">
        <v>22</v>
      </c>
      <c r="U349">
        <f t="shared" si="47"/>
        <v>1</v>
      </c>
      <c r="V349">
        <v>8.0339827346832209</v>
      </c>
      <c r="W349">
        <v>7.6820215108268748</v>
      </c>
      <c r="X349">
        <v>11.744037185933616</v>
      </c>
      <c r="Y349" t="s">
        <v>23</v>
      </c>
    </row>
    <row r="350" spans="1:25" x14ac:dyDescent="0.3">
      <c r="A350" t="s">
        <v>379</v>
      </c>
      <c r="B350" t="s">
        <v>18</v>
      </c>
      <c r="C350">
        <f t="shared" si="40"/>
        <v>1</v>
      </c>
      <c r="D350" t="s">
        <v>25</v>
      </c>
      <c r="E350">
        <f t="shared" si="41"/>
        <v>1</v>
      </c>
      <c r="F350">
        <v>0</v>
      </c>
      <c r="G350" t="s">
        <v>20</v>
      </c>
      <c r="H350">
        <f t="shared" si="42"/>
        <v>1</v>
      </c>
      <c r="I350" t="s">
        <v>19</v>
      </c>
      <c r="J350">
        <f t="shared" si="43"/>
        <v>0</v>
      </c>
      <c r="K350">
        <v>6333</v>
      </c>
      <c r="L350">
        <v>4583</v>
      </c>
      <c r="M350">
        <v>259000</v>
      </c>
      <c r="N350">
        <v>360</v>
      </c>
      <c r="O350">
        <v>1</v>
      </c>
      <c r="P350" t="s">
        <v>35</v>
      </c>
      <c r="Q350">
        <f t="shared" si="44"/>
        <v>0</v>
      </c>
      <c r="R350">
        <f t="shared" si="45"/>
        <v>1</v>
      </c>
      <c r="S350">
        <f t="shared" si="46"/>
        <v>0</v>
      </c>
      <c r="T350" t="s">
        <v>22</v>
      </c>
      <c r="U350">
        <f t="shared" si="47"/>
        <v>1</v>
      </c>
      <c r="V350">
        <v>8.7536872270985846</v>
      </c>
      <c r="W350">
        <v>8.4303272583945752</v>
      </c>
      <c r="X350">
        <v>12.464583340681674</v>
      </c>
      <c r="Y350" t="s">
        <v>23</v>
      </c>
    </row>
    <row r="351" spans="1:25" x14ac:dyDescent="0.3">
      <c r="A351" t="s">
        <v>380</v>
      </c>
      <c r="B351" t="s">
        <v>18</v>
      </c>
      <c r="C351">
        <f t="shared" si="40"/>
        <v>1</v>
      </c>
      <c r="D351" t="s">
        <v>25</v>
      </c>
      <c r="E351">
        <f t="shared" si="41"/>
        <v>1</v>
      </c>
      <c r="F351">
        <v>0</v>
      </c>
      <c r="G351" t="s">
        <v>20</v>
      </c>
      <c r="H351">
        <f t="shared" si="42"/>
        <v>1</v>
      </c>
      <c r="I351" t="s">
        <v>19</v>
      </c>
      <c r="J351">
        <f t="shared" si="43"/>
        <v>0</v>
      </c>
      <c r="K351">
        <v>2625</v>
      </c>
      <c r="L351">
        <v>6250</v>
      </c>
      <c r="M351">
        <v>187000</v>
      </c>
      <c r="N351">
        <v>360</v>
      </c>
      <c r="O351">
        <v>1</v>
      </c>
      <c r="P351" t="s">
        <v>26</v>
      </c>
      <c r="Q351">
        <f t="shared" si="44"/>
        <v>0</v>
      </c>
      <c r="R351">
        <f t="shared" si="45"/>
        <v>0</v>
      </c>
      <c r="S351">
        <f t="shared" si="46"/>
        <v>1</v>
      </c>
      <c r="T351" t="s">
        <v>22</v>
      </c>
      <c r="U351">
        <f t="shared" si="47"/>
        <v>1</v>
      </c>
      <c r="V351">
        <v>7.8732170548627414</v>
      </c>
      <c r="W351">
        <v>8.740496729931813</v>
      </c>
      <c r="X351">
        <v>12.138863895836725</v>
      </c>
      <c r="Y351" t="s">
        <v>23</v>
      </c>
    </row>
    <row r="352" spans="1:25" x14ac:dyDescent="0.3">
      <c r="A352" t="s">
        <v>381</v>
      </c>
      <c r="B352" t="s">
        <v>18</v>
      </c>
      <c r="C352">
        <f t="shared" si="40"/>
        <v>1</v>
      </c>
      <c r="D352" t="s">
        <v>25</v>
      </c>
      <c r="E352">
        <f t="shared" si="41"/>
        <v>1</v>
      </c>
      <c r="F352">
        <v>0</v>
      </c>
      <c r="G352" t="s">
        <v>20</v>
      </c>
      <c r="H352">
        <f t="shared" si="42"/>
        <v>1</v>
      </c>
      <c r="I352" t="s">
        <v>19</v>
      </c>
      <c r="J352">
        <f t="shared" si="43"/>
        <v>0</v>
      </c>
      <c r="K352">
        <v>9083</v>
      </c>
      <c r="L352">
        <v>0</v>
      </c>
      <c r="M352">
        <v>228000</v>
      </c>
      <c r="N352">
        <v>360</v>
      </c>
      <c r="O352">
        <v>1</v>
      </c>
      <c r="P352" t="s">
        <v>35</v>
      </c>
      <c r="Q352">
        <f t="shared" si="44"/>
        <v>0</v>
      </c>
      <c r="R352">
        <f t="shared" si="45"/>
        <v>1</v>
      </c>
      <c r="S352">
        <f t="shared" si="46"/>
        <v>0</v>
      </c>
      <c r="T352" t="s">
        <v>22</v>
      </c>
      <c r="U352">
        <f t="shared" si="47"/>
        <v>1</v>
      </c>
      <c r="V352">
        <v>9.1142699032254484</v>
      </c>
      <c r="W352">
        <v>0</v>
      </c>
      <c r="X352">
        <v>12.337100907936577</v>
      </c>
      <c r="Y352" t="s">
        <v>23</v>
      </c>
    </row>
    <row r="353" spans="1:25" x14ac:dyDescent="0.3">
      <c r="A353" t="s">
        <v>382</v>
      </c>
      <c r="B353" t="s">
        <v>18</v>
      </c>
      <c r="C353">
        <f t="shared" si="40"/>
        <v>1</v>
      </c>
      <c r="D353" t="s">
        <v>19</v>
      </c>
      <c r="E353">
        <f t="shared" si="41"/>
        <v>0</v>
      </c>
      <c r="F353">
        <v>0</v>
      </c>
      <c r="G353" t="s">
        <v>20</v>
      </c>
      <c r="H353">
        <f t="shared" si="42"/>
        <v>1</v>
      </c>
      <c r="I353" t="s">
        <v>19</v>
      </c>
      <c r="J353">
        <f t="shared" si="43"/>
        <v>0</v>
      </c>
      <c r="K353">
        <v>8750</v>
      </c>
      <c r="L353">
        <v>4167</v>
      </c>
      <c r="M353">
        <v>308000</v>
      </c>
      <c r="N353">
        <v>360</v>
      </c>
      <c r="O353">
        <v>1</v>
      </c>
      <c r="P353" t="s">
        <v>26</v>
      </c>
      <c r="Q353">
        <f t="shared" si="44"/>
        <v>0</v>
      </c>
      <c r="R353">
        <f t="shared" si="45"/>
        <v>0</v>
      </c>
      <c r="S353">
        <f t="shared" si="46"/>
        <v>1</v>
      </c>
      <c r="T353" t="s">
        <v>27</v>
      </c>
      <c r="U353">
        <f t="shared" si="47"/>
        <v>0</v>
      </c>
      <c r="V353">
        <v>9.0769232585358317</v>
      </c>
      <c r="W353">
        <v>8.3351915834332022</v>
      </c>
      <c r="X353">
        <v>12.637855061955712</v>
      </c>
      <c r="Y353" t="s">
        <v>23</v>
      </c>
    </row>
    <row r="354" spans="1:25" x14ac:dyDescent="0.3">
      <c r="A354" t="s">
        <v>383</v>
      </c>
      <c r="B354" t="s">
        <v>18</v>
      </c>
      <c r="C354">
        <f t="shared" si="40"/>
        <v>1</v>
      </c>
      <c r="D354" t="s">
        <v>25</v>
      </c>
      <c r="E354">
        <f t="shared" si="41"/>
        <v>1</v>
      </c>
      <c r="F354">
        <v>3</v>
      </c>
      <c r="G354" t="s">
        <v>20</v>
      </c>
      <c r="H354">
        <f t="shared" si="42"/>
        <v>1</v>
      </c>
      <c r="I354" t="s">
        <v>19</v>
      </c>
      <c r="J354">
        <f t="shared" si="43"/>
        <v>0</v>
      </c>
      <c r="K354">
        <v>2666</v>
      </c>
      <c r="L354">
        <v>2083</v>
      </c>
      <c r="M354">
        <v>95000</v>
      </c>
      <c r="N354">
        <v>360</v>
      </c>
      <c r="O354">
        <v>1</v>
      </c>
      <c r="P354" t="s">
        <v>26</v>
      </c>
      <c r="Q354">
        <f t="shared" si="44"/>
        <v>0</v>
      </c>
      <c r="R354">
        <f t="shared" si="45"/>
        <v>0</v>
      </c>
      <c r="S354">
        <f t="shared" si="46"/>
        <v>1</v>
      </c>
      <c r="T354" t="s">
        <v>22</v>
      </c>
      <c r="U354">
        <f t="shared" si="47"/>
        <v>1</v>
      </c>
      <c r="V354">
        <v>7.8887095241820147</v>
      </c>
      <c r="W354">
        <v>7.6420444028732577</v>
      </c>
      <c r="X354">
        <v>11.461632170582678</v>
      </c>
      <c r="Y354" t="s">
        <v>23</v>
      </c>
    </row>
    <row r="355" spans="1:25" x14ac:dyDescent="0.3">
      <c r="A355" t="s">
        <v>384</v>
      </c>
      <c r="B355" t="s">
        <v>48</v>
      </c>
      <c r="C355">
        <f t="shared" si="40"/>
        <v>0</v>
      </c>
      <c r="D355" t="s">
        <v>25</v>
      </c>
      <c r="E355">
        <f t="shared" si="41"/>
        <v>1</v>
      </c>
      <c r="F355">
        <v>0</v>
      </c>
      <c r="G355" t="s">
        <v>20</v>
      </c>
      <c r="H355">
        <f t="shared" si="42"/>
        <v>1</v>
      </c>
      <c r="I355" t="s">
        <v>25</v>
      </c>
      <c r="J355">
        <f t="shared" si="43"/>
        <v>1</v>
      </c>
      <c r="K355">
        <v>5500</v>
      </c>
      <c r="L355">
        <v>0</v>
      </c>
      <c r="M355">
        <v>105000</v>
      </c>
      <c r="N355">
        <v>360</v>
      </c>
      <c r="O355">
        <v>0</v>
      </c>
      <c r="P355" t="s">
        <v>26</v>
      </c>
      <c r="Q355">
        <f t="shared" si="44"/>
        <v>0</v>
      </c>
      <c r="R355">
        <f t="shared" si="45"/>
        <v>0</v>
      </c>
      <c r="S355">
        <f t="shared" si="46"/>
        <v>1</v>
      </c>
      <c r="T355" t="s">
        <v>27</v>
      </c>
      <c r="U355">
        <f t="shared" si="47"/>
        <v>0</v>
      </c>
      <c r="V355">
        <v>8.6126851728754588</v>
      </c>
      <c r="W355">
        <v>0</v>
      </c>
      <c r="X355">
        <v>11.561715629139661</v>
      </c>
      <c r="Y355" t="s">
        <v>23</v>
      </c>
    </row>
    <row r="356" spans="1:25" x14ac:dyDescent="0.3">
      <c r="A356" t="s">
        <v>385</v>
      </c>
      <c r="B356" t="s">
        <v>48</v>
      </c>
      <c r="C356">
        <f t="shared" si="40"/>
        <v>0</v>
      </c>
      <c r="D356" t="s">
        <v>25</v>
      </c>
      <c r="E356">
        <f t="shared" si="41"/>
        <v>1</v>
      </c>
      <c r="F356">
        <v>0</v>
      </c>
      <c r="G356" t="s">
        <v>20</v>
      </c>
      <c r="H356">
        <f t="shared" si="42"/>
        <v>1</v>
      </c>
      <c r="I356" t="s">
        <v>19</v>
      </c>
      <c r="J356">
        <f t="shared" si="43"/>
        <v>0</v>
      </c>
      <c r="K356">
        <v>2423</v>
      </c>
      <c r="L356">
        <v>505</v>
      </c>
      <c r="M356">
        <v>130000</v>
      </c>
      <c r="N356">
        <v>360</v>
      </c>
      <c r="O356">
        <v>1</v>
      </c>
      <c r="P356" t="s">
        <v>35</v>
      </c>
      <c r="Q356">
        <f t="shared" si="44"/>
        <v>0</v>
      </c>
      <c r="R356">
        <f t="shared" si="45"/>
        <v>1</v>
      </c>
      <c r="S356">
        <f t="shared" si="46"/>
        <v>0</v>
      </c>
      <c r="T356" t="s">
        <v>22</v>
      </c>
      <c r="U356">
        <f t="shared" si="47"/>
        <v>1</v>
      </c>
      <c r="V356">
        <v>7.793174347189205</v>
      </c>
      <c r="W356">
        <v>6.2265366692874657</v>
      </c>
      <c r="X356">
        <v>11.77528972943772</v>
      </c>
      <c r="Y356" t="s">
        <v>23</v>
      </c>
    </row>
    <row r="357" spans="1:25" x14ac:dyDescent="0.3">
      <c r="A357" t="s">
        <v>386</v>
      </c>
      <c r="B357" t="s">
        <v>48</v>
      </c>
      <c r="C357">
        <f t="shared" si="40"/>
        <v>0</v>
      </c>
      <c r="D357" t="s">
        <v>19</v>
      </c>
      <c r="E357">
        <f t="shared" si="41"/>
        <v>0</v>
      </c>
      <c r="F357">
        <v>0</v>
      </c>
      <c r="G357" t="s">
        <v>20</v>
      </c>
      <c r="H357">
        <f t="shared" si="42"/>
        <v>1</v>
      </c>
      <c r="I357" t="s">
        <v>19</v>
      </c>
      <c r="J357">
        <f t="shared" si="43"/>
        <v>0</v>
      </c>
      <c r="K357">
        <v>3813</v>
      </c>
      <c r="L357">
        <v>0</v>
      </c>
      <c r="M357">
        <v>116000</v>
      </c>
      <c r="N357">
        <v>180</v>
      </c>
      <c r="O357">
        <v>1</v>
      </c>
      <c r="P357" t="s">
        <v>21</v>
      </c>
      <c r="Q357">
        <f t="shared" si="44"/>
        <v>1</v>
      </c>
      <c r="R357">
        <f t="shared" si="45"/>
        <v>0</v>
      </c>
      <c r="S357">
        <f t="shared" si="46"/>
        <v>0</v>
      </c>
      <c r="T357" t="s">
        <v>22</v>
      </c>
      <c r="U357">
        <f t="shared" si="47"/>
        <v>1</v>
      </c>
      <c r="V357">
        <v>8.2464337861603649</v>
      </c>
      <c r="W357">
        <v>0</v>
      </c>
      <c r="X357">
        <v>11.661345470088502</v>
      </c>
      <c r="Y357" t="s">
        <v>46</v>
      </c>
    </row>
    <row r="358" spans="1:25" x14ac:dyDescent="0.3">
      <c r="A358" t="s">
        <v>387</v>
      </c>
      <c r="B358" t="s">
        <v>18</v>
      </c>
      <c r="C358">
        <f t="shared" si="40"/>
        <v>1</v>
      </c>
      <c r="D358" t="s">
        <v>25</v>
      </c>
      <c r="E358">
        <f t="shared" si="41"/>
        <v>1</v>
      </c>
      <c r="F358">
        <v>2</v>
      </c>
      <c r="G358" t="s">
        <v>20</v>
      </c>
      <c r="H358">
        <f t="shared" si="42"/>
        <v>1</v>
      </c>
      <c r="I358" t="s">
        <v>19</v>
      </c>
      <c r="J358">
        <f t="shared" si="43"/>
        <v>0</v>
      </c>
      <c r="K358">
        <v>8333</v>
      </c>
      <c r="L358">
        <v>3167</v>
      </c>
      <c r="M358">
        <v>165000</v>
      </c>
      <c r="N358">
        <v>360</v>
      </c>
      <c r="O358">
        <v>1</v>
      </c>
      <c r="P358" t="s">
        <v>26</v>
      </c>
      <c r="Q358">
        <f t="shared" si="44"/>
        <v>0</v>
      </c>
      <c r="R358">
        <f t="shared" si="45"/>
        <v>0</v>
      </c>
      <c r="S358">
        <f t="shared" si="46"/>
        <v>1</v>
      </c>
      <c r="T358" t="s">
        <v>22</v>
      </c>
      <c r="U358">
        <f t="shared" si="47"/>
        <v>1</v>
      </c>
      <c r="V358">
        <v>9.0280988119823995</v>
      </c>
      <c r="W358">
        <v>8.0608557529343159</v>
      </c>
      <c r="X358">
        <v>12.013700752882718</v>
      </c>
      <c r="Y358" t="s">
        <v>23</v>
      </c>
    </row>
    <row r="359" spans="1:25" x14ac:dyDescent="0.3">
      <c r="A359" t="s">
        <v>388</v>
      </c>
      <c r="B359" t="s">
        <v>18</v>
      </c>
      <c r="C359">
        <f t="shared" si="40"/>
        <v>1</v>
      </c>
      <c r="D359" t="s">
        <v>25</v>
      </c>
      <c r="E359">
        <f t="shared" si="41"/>
        <v>1</v>
      </c>
      <c r="F359">
        <v>1</v>
      </c>
      <c r="G359" t="s">
        <v>20</v>
      </c>
      <c r="H359">
        <f t="shared" si="42"/>
        <v>1</v>
      </c>
      <c r="I359" t="s">
        <v>19</v>
      </c>
      <c r="J359">
        <f t="shared" si="43"/>
        <v>0</v>
      </c>
      <c r="K359">
        <v>3875</v>
      </c>
      <c r="L359">
        <v>0</v>
      </c>
      <c r="M359">
        <v>67000</v>
      </c>
      <c r="N359">
        <v>360</v>
      </c>
      <c r="O359">
        <v>1</v>
      </c>
      <c r="P359" t="s">
        <v>21</v>
      </c>
      <c r="Q359">
        <f t="shared" si="44"/>
        <v>1</v>
      </c>
      <c r="R359">
        <f t="shared" si="45"/>
        <v>0</v>
      </c>
      <c r="S359">
        <f t="shared" si="46"/>
        <v>0</v>
      </c>
      <c r="T359" t="s">
        <v>27</v>
      </c>
      <c r="U359">
        <f t="shared" si="47"/>
        <v>0</v>
      </c>
      <c r="V359">
        <v>8.2625589730106572</v>
      </c>
      <c r="W359">
        <v>0</v>
      </c>
      <c r="X359">
        <v>11.112447898373103</v>
      </c>
      <c r="Y359" t="s">
        <v>23</v>
      </c>
    </row>
    <row r="360" spans="1:25" x14ac:dyDescent="0.3">
      <c r="A360" t="s">
        <v>389</v>
      </c>
      <c r="B360" t="s">
        <v>18</v>
      </c>
      <c r="C360">
        <f t="shared" si="40"/>
        <v>1</v>
      </c>
      <c r="D360" t="s">
        <v>25</v>
      </c>
      <c r="E360">
        <f t="shared" si="41"/>
        <v>1</v>
      </c>
      <c r="F360">
        <v>0</v>
      </c>
      <c r="G360" t="s">
        <v>30</v>
      </c>
      <c r="H360">
        <f t="shared" si="42"/>
        <v>0</v>
      </c>
      <c r="I360" t="s">
        <v>19</v>
      </c>
      <c r="J360">
        <f t="shared" si="43"/>
        <v>0</v>
      </c>
      <c r="K360">
        <v>3000</v>
      </c>
      <c r="L360">
        <v>1666</v>
      </c>
      <c r="M360">
        <v>100000</v>
      </c>
      <c r="N360">
        <v>480</v>
      </c>
      <c r="O360">
        <v>0</v>
      </c>
      <c r="P360" t="s">
        <v>21</v>
      </c>
      <c r="Q360">
        <f t="shared" si="44"/>
        <v>1</v>
      </c>
      <c r="R360">
        <f t="shared" si="45"/>
        <v>0</v>
      </c>
      <c r="S360">
        <f t="shared" si="46"/>
        <v>0</v>
      </c>
      <c r="T360" t="s">
        <v>27</v>
      </c>
      <c r="U360">
        <f t="shared" si="47"/>
        <v>0</v>
      </c>
      <c r="V360">
        <v>8.006700845440367</v>
      </c>
      <c r="W360">
        <v>7.4187808827507942</v>
      </c>
      <c r="X360">
        <v>11.512925464970229</v>
      </c>
      <c r="Y360" t="s">
        <v>23</v>
      </c>
    </row>
    <row r="361" spans="1:25" x14ac:dyDescent="0.3">
      <c r="A361" t="s">
        <v>390</v>
      </c>
      <c r="B361" t="s">
        <v>18</v>
      </c>
      <c r="C361">
        <f t="shared" si="40"/>
        <v>1</v>
      </c>
      <c r="D361" t="s">
        <v>25</v>
      </c>
      <c r="E361">
        <f t="shared" si="41"/>
        <v>1</v>
      </c>
      <c r="F361">
        <v>3</v>
      </c>
      <c r="G361" t="s">
        <v>20</v>
      </c>
      <c r="H361">
        <f t="shared" si="42"/>
        <v>1</v>
      </c>
      <c r="I361" t="s">
        <v>19</v>
      </c>
      <c r="J361">
        <f t="shared" si="43"/>
        <v>0</v>
      </c>
      <c r="K361">
        <v>5167</v>
      </c>
      <c r="L361">
        <v>3167</v>
      </c>
      <c r="M361">
        <v>200000</v>
      </c>
      <c r="N361">
        <v>360</v>
      </c>
      <c r="O361">
        <v>1</v>
      </c>
      <c r="P361" t="s">
        <v>35</v>
      </c>
      <c r="Q361">
        <f t="shared" si="44"/>
        <v>0</v>
      </c>
      <c r="R361">
        <f t="shared" si="45"/>
        <v>1</v>
      </c>
      <c r="S361">
        <f t="shared" si="46"/>
        <v>0</v>
      </c>
      <c r="T361" t="s">
        <v>22</v>
      </c>
      <c r="U361">
        <f t="shared" si="47"/>
        <v>1</v>
      </c>
      <c r="V361">
        <v>8.5502410454624371</v>
      </c>
      <c r="W361">
        <v>8.0608557529343159</v>
      </c>
      <c r="X361">
        <v>12.206072645530174</v>
      </c>
      <c r="Y361" t="s">
        <v>23</v>
      </c>
    </row>
    <row r="362" spans="1:25" x14ac:dyDescent="0.3">
      <c r="A362" t="s">
        <v>391</v>
      </c>
      <c r="B362" t="s">
        <v>48</v>
      </c>
      <c r="C362">
        <f t="shared" si="40"/>
        <v>0</v>
      </c>
      <c r="D362" t="s">
        <v>19</v>
      </c>
      <c r="E362">
        <f t="shared" si="41"/>
        <v>0</v>
      </c>
      <c r="F362">
        <v>1</v>
      </c>
      <c r="G362" t="s">
        <v>20</v>
      </c>
      <c r="H362">
        <f t="shared" si="42"/>
        <v>1</v>
      </c>
      <c r="I362" t="s">
        <v>19</v>
      </c>
      <c r="J362">
        <f t="shared" si="43"/>
        <v>0</v>
      </c>
      <c r="K362">
        <v>4723</v>
      </c>
      <c r="L362">
        <v>0</v>
      </c>
      <c r="M362">
        <v>81000</v>
      </c>
      <c r="N362">
        <v>360</v>
      </c>
      <c r="O362">
        <v>1</v>
      </c>
      <c r="P362" t="s">
        <v>35</v>
      </c>
      <c r="Q362">
        <f t="shared" si="44"/>
        <v>0</v>
      </c>
      <c r="R362">
        <f t="shared" si="45"/>
        <v>1</v>
      </c>
      <c r="S362">
        <f t="shared" si="46"/>
        <v>0</v>
      </c>
      <c r="T362" t="s">
        <v>27</v>
      </c>
      <c r="U362">
        <f t="shared" si="47"/>
        <v>0</v>
      </c>
      <c r="V362">
        <v>8.460411177317253</v>
      </c>
      <c r="W362">
        <v>0</v>
      </c>
      <c r="X362">
        <v>11.302204433654575</v>
      </c>
      <c r="Y362" t="s">
        <v>23</v>
      </c>
    </row>
    <row r="363" spans="1:25" x14ac:dyDescent="0.3">
      <c r="A363" t="s">
        <v>392</v>
      </c>
      <c r="B363" t="s">
        <v>18</v>
      </c>
      <c r="C363">
        <f t="shared" si="40"/>
        <v>1</v>
      </c>
      <c r="D363" t="s">
        <v>25</v>
      </c>
      <c r="E363">
        <f t="shared" si="41"/>
        <v>1</v>
      </c>
      <c r="F363">
        <v>2</v>
      </c>
      <c r="G363" t="s">
        <v>20</v>
      </c>
      <c r="H363">
        <f t="shared" si="42"/>
        <v>1</v>
      </c>
      <c r="I363" t="s">
        <v>19</v>
      </c>
      <c r="J363">
        <f t="shared" si="43"/>
        <v>0</v>
      </c>
      <c r="K363">
        <v>5000</v>
      </c>
      <c r="L363">
        <v>3667</v>
      </c>
      <c r="M363">
        <v>236000</v>
      </c>
      <c r="N363">
        <v>360</v>
      </c>
      <c r="O363">
        <v>1</v>
      </c>
      <c r="P363" t="s">
        <v>35</v>
      </c>
      <c r="Q363">
        <f t="shared" si="44"/>
        <v>0</v>
      </c>
      <c r="R363">
        <f t="shared" si="45"/>
        <v>1</v>
      </c>
      <c r="S363">
        <f t="shared" si="46"/>
        <v>0</v>
      </c>
      <c r="T363" t="s">
        <v>22</v>
      </c>
      <c r="U363">
        <f t="shared" si="47"/>
        <v>1</v>
      </c>
      <c r="V363">
        <v>8.5173931714189042</v>
      </c>
      <c r="W363">
        <v>8.2074018333763554</v>
      </c>
      <c r="X363">
        <v>12.371587084007746</v>
      </c>
      <c r="Y363" t="s">
        <v>23</v>
      </c>
    </row>
    <row r="364" spans="1:25" x14ac:dyDescent="0.3">
      <c r="A364" t="s">
        <v>393</v>
      </c>
      <c r="B364" t="s">
        <v>18</v>
      </c>
      <c r="C364">
        <f t="shared" si="40"/>
        <v>1</v>
      </c>
      <c r="D364" t="s">
        <v>25</v>
      </c>
      <c r="E364">
        <f t="shared" si="41"/>
        <v>1</v>
      </c>
      <c r="F364">
        <v>0</v>
      </c>
      <c r="G364" t="s">
        <v>20</v>
      </c>
      <c r="H364">
        <f t="shared" si="42"/>
        <v>1</v>
      </c>
      <c r="I364" t="s">
        <v>19</v>
      </c>
      <c r="J364">
        <f t="shared" si="43"/>
        <v>0</v>
      </c>
      <c r="K364">
        <v>4750</v>
      </c>
      <c r="L364">
        <v>2333</v>
      </c>
      <c r="M364">
        <v>130000</v>
      </c>
      <c r="N364">
        <v>360</v>
      </c>
      <c r="O364">
        <v>1</v>
      </c>
      <c r="P364" t="s">
        <v>21</v>
      </c>
      <c r="Q364">
        <f t="shared" si="44"/>
        <v>1</v>
      </c>
      <c r="R364">
        <f t="shared" si="45"/>
        <v>0</v>
      </c>
      <c r="S364">
        <f t="shared" si="46"/>
        <v>0</v>
      </c>
      <c r="T364" t="s">
        <v>22</v>
      </c>
      <c r="U364">
        <f t="shared" si="47"/>
        <v>1</v>
      </c>
      <c r="V364">
        <v>8.4661104011869206</v>
      </c>
      <c r="W364">
        <v>7.7553388128465013</v>
      </c>
      <c r="X364">
        <v>11.77528972943772</v>
      </c>
      <c r="Y364" t="s">
        <v>23</v>
      </c>
    </row>
    <row r="365" spans="1:25" x14ac:dyDescent="0.3">
      <c r="A365" t="s">
        <v>394</v>
      </c>
      <c r="B365" t="s">
        <v>18</v>
      </c>
      <c r="C365">
        <f t="shared" si="40"/>
        <v>1</v>
      </c>
      <c r="D365" t="s">
        <v>25</v>
      </c>
      <c r="E365">
        <f t="shared" si="41"/>
        <v>1</v>
      </c>
      <c r="F365">
        <v>0</v>
      </c>
      <c r="G365" t="s">
        <v>20</v>
      </c>
      <c r="H365">
        <f t="shared" si="42"/>
        <v>1</v>
      </c>
      <c r="I365" t="s">
        <v>19</v>
      </c>
      <c r="J365">
        <f t="shared" si="43"/>
        <v>0</v>
      </c>
      <c r="K365">
        <v>3013</v>
      </c>
      <c r="L365">
        <v>3033</v>
      </c>
      <c r="M365">
        <v>95000</v>
      </c>
      <c r="N365">
        <v>300</v>
      </c>
      <c r="O365">
        <v>1</v>
      </c>
      <c r="P365" t="s">
        <v>21</v>
      </c>
      <c r="Q365">
        <f t="shared" si="44"/>
        <v>1</v>
      </c>
      <c r="R365">
        <f t="shared" si="45"/>
        <v>0</v>
      </c>
      <c r="S365">
        <f t="shared" si="46"/>
        <v>0</v>
      </c>
      <c r="T365" t="s">
        <v>22</v>
      </c>
      <c r="U365">
        <f t="shared" si="47"/>
        <v>1</v>
      </c>
      <c r="V365">
        <v>8.0110233791864403</v>
      </c>
      <c r="W365">
        <v>8.0176371599084781</v>
      </c>
      <c r="X365">
        <v>11.461632170582678</v>
      </c>
      <c r="Y365" t="s">
        <v>46</v>
      </c>
    </row>
    <row r="366" spans="1:25" x14ac:dyDescent="0.3">
      <c r="A366" t="s">
        <v>395</v>
      </c>
      <c r="B366" t="s">
        <v>18</v>
      </c>
      <c r="C366">
        <f t="shared" si="40"/>
        <v>1</v>
      </c>
      <c r="D366" t="s">
        <v>19</v>
      </c>
      <c r="E366">
        <f t="shared" si="41"/>
        <v>0</v>
      </c>
      <c r="F366">
        <v>0</v>
      </c>
      <c r="G366" t="s">
        <v>20</v>
      </c>
      <c r="H366">
        <f t="shared" si="42"/>
        <v>1</v>
      </c>
      <c r="I366" t="s">
        <v>25</v>
      </c>
      <c r="J366">
        <f t="shared" si="43"/>
        <v>1</v>
      </c>
      <c r="K366">
        <v>6822</v>
      </c>
      <c r="L366">
        <v>0</v>
      </c>
      <c r="M366">
        <v>141000</v>
      </c>
      <c r="N366">
        <v>360</v>
      </c>
      <c r="O366">
        <v>1</v>
      </c>
      <c r="P366" t="s">
        <v>26</v>
      </c>
      <c r="Q366">
        <f t="shared" si="44"/>
        <v>0</v>
      </c>
      <c r="R366">
        <f t="shared" si="45"/>
        <v>0</v>
      </c>
      <c r="S366">
        <f t="shared" si="46"/>
        <v>1</v>
      </c>
      <c r="T366" t="s">
        <v>22</v>
      </c>
      <c r="U366">
        <f t="shared" si="47"/>
        <v>1</v>
      </c>
      <c r="V366">
        <v>8.828054536815424</v>
      </c>
      <c r="W366">
        <v>0</v>
      </c>
      <c r="X366">
        <v>11.856515169360305</v>
      </c>
      <c r="Y366" t="s">
        <v>23</v>
      </c>
    </row>
    <row r="367" spans="1:25" x14ac:dyDescent="0.3">
      <c r="A367" t="s">
        <v>396</v>
      </c>
      <c r="B367" t="s">
        <v>18</v>
      </c>
      <c r="C367">
        <f t="shared" si="40"/>
        <v>1</v>
      </c>
      <c r="D367" t="s">
        <v>19</v>
      </c>
      <c r="E367">
        <f t="shared" si="41"/>
        <v>0</v>
      </c>
      <c r="F367">
        <v>0</v>
      </c>
      <c r="G367" t="s">
        <v>30</v>
      </c>
      <c r="H367">
        <f t="shared" si="42"/>
        <v>0</v>
      </c>
      <c r="I367" t="s">
        <v>19</v>
      </c>
      <c r="J367">
        <f t="shared" si="43"/>
        <v>0</v>
      </c>
      <c r="K367">
        <v>6216</v>
      </c>
      <c r="L367">
        <v>0</v>
      </c>
      <c r="M367">
        <v>133000</v>
      </c>
      <c r="N367">
        <v>360</v>
      </c>
      <c r="O367">
        <v>1</v>
      </c>
      <c r="P367" t="s">
        <v>26</v>
      </c>
      <c r="Q367">
        <f t="shared" si="44"/>
        <v>0</v>
      </c>
      <c r="R367">
        <f t="shared" si="45"/>
        <v>0</v>
      </c>
      <c r="S367">
        <f t="shared" si="46"/>
        <v>1</v>
      </c>
      <c r="T367" t="s">
        <v>27</v>
      </c>
      <c r="U367">
        <f t="shared" si="47"/>
        <v>0</v>
      </c>
      <c r="V367">
        <v>8.7350427542693367</v>
      </c>
      <c r="W367">
        <v>0</v>
      </c>
      <c r="X367">
        <v>11.798104407203891</v>
      </c>
      <c r="Y367" t="s">
        <v>23</v>
      </c>
    </row>
    <row r="368" spans="1:25" x14ac:dyDescent="0.3">
      <c r="A368" t="s">
        <v>397</v>
      </c>
      <c r="B368" t="s">
        <v>18</v>
      </c>
      <c r="C368">
        <f t="shared" si="40"/>
        <v>1</v>
      </c>
      <c r="D368" t="s">
        <v>19</v>
      </c>
      <c r="E368">
        <f t="shared" si="41"/>
        <v>0</v>
      </c>
      <c r="F368">
        <v>0</v>
      </c>
      <c r="G368" t="s">
        <v>20</v>
      </c>
      <c r="H368">
        <f t="shared" si="42"/>
        <v>1</v>
      </c>
      <c r="I368" t="s">
        <v>19</v>
      </c>
      <c r="J368">
        <f t="shared" si="43"/>
        <v>0</v>
      </c>
      <c r="K368">
        <v>2500</v>
      </c>
      <c r="L368">
        <v>0</v>
      </c>
      <c r="M368">
        <v>96000</v>
      </c>
      <c r="N368">
        <v>480</v>
      </c>
      <c r="O368">
        <v>1</v>
      </c>
      <c r="P368" t="s">
        <v>35</v>
      </c>
      <c r="Q368">
        <f t="shared" si="44"/>
        <v>0</v>
      </c>
      <c r="R368">
        <f t="shared" si="45"/>
        <v>1</v>
      </c>
      <c r="S368">
        <f t="shared" si="46"/>
        <v>0</v>
      </c>
      <c r="T368" t="s">
        <v>27</v>
      </c>
      <c r="U368">
        <f t="shared" si="47"/>
        <v>0</v>
      </c>
      <c r="V368">
        <v>7.8244459308776193</v>
      </c>
      <c r="W368">
        <v>0</v>
      </c>
      <c r="X368">
        <v>11.472103470449973</v>
      </c>
      <c r="Y368" t="s">
        <v>23</v>
      </c>
    </row>
    <row r="369" spans="1:25" x14ac:dyDescent="0.3">
      <c r="A369" t="s">
        <v>398</v>
      </c>
      <c r="B369" t="s">
        <v>18</v>
      </c>
      <c r="C369">
        <f t="shared" si="40"/>
        <v>1</v>
      </c>
      <c r="D369" t="s">
        <v>19</v>
      </c>
      <c r="E369">
        <f t="shared" si="41"/>
        <v>0</v>
      </c>
      <c r="F369">
        <v>0</v>
      </c>
      <c r="G369" t="s">
        <v>20</v>
      </c>
      <c r="H369">
        <f t="shared" si="42"/>
        <v>1</v>
      </c>
      <c r="I369" t="s">
        <v>19</v>
      </c>
      <c r="J369">
        <f t="shared" si="43"/>
        <v>0</v>
      </c>
      <c r="K369">
        <v>5124</v>
      </c>
      <c r="L369">
        <v>0</v>
      </c>
      <c r="M369">
        <v>124000</v>
      </c>
      <c r="N369">
        <v>360</v>
      </c>
      <c r="O369">
        <v>0</v>
      </c>
      <c r="P369" t="s">
        <v>26</v>
      </c>
      <c r="Q369">
        <f t="shared" si="44"/>
        <v>0</v>
      </c>
      <c r="R369">
        <f t="shared" si="45"/>
        <v>0</v>
      </c>
      <c r="S369">
        <f t="shared" si="46"/>
        <v>1</v>
      </c>
      <c r="T369" t="s">
        <v>27</v>
      </c>
      <c r="U369">
        <f t="shared" si="47"/>
        <v>0</v>
      </c>
      <c r="V369">
        <v>8.5418858040066095</v>
      </c>
      <c r="W369">
        <v>0</v>
      </c>
      <c r="X369">
        <v>11.728036844587175</v>
      </c>
      <c r="Y369" t="s">
        <v>23</v>
      </c>
    </row>
    <row r="370" spans="1:25" x14ac:dyDescent="0.3">
      <c r="A370" t="s">
        <v>399</v>
      </c>
      <c r="B370" t="s">
        <v>18</v>
      </c>
      <c r="C370">
        <f t="shared" si="40"/>
        <v>1</v>
      </c>
      <c r="D370" t="s">
        <v>25</v>
      </c>
      <c r="E370">
        <f t="shared" si="41"/>
        <v>1</v>
      </c>
      <c r="F370">
        <v>1</v>
      </c>
      <c r="G370" t="s">
        <v>20</v>
      </c>
      <c r="H370">
        <f t="shared" si="42"/>
        <v>1</v>
      </c>
      <c r="I370" t="s">
        <v>19</v>
      </c>
      <c r="J370">
        <f t="shared" si="43"/>
        <v>0</v>
      </c>
      <c r="K370">
        <v>6325</v>
      </c>
      <c r="L370">
        <v>0</v>
      </c>
      <c r="M370">
        <v>175000</v>
      </c>
      <c r="N370">
        <v>360</v>
      </c>
      <c r="O370">
        <v>1</v>
      </c>
      <c r="P370" t="s">
        <v>35</v>
      </c>
      <c r="Q370">
        <f t="shared" si="44"/>
        <v>0</v>
      </c>
      <c r="R370">
        <f t="shared" si="45"/>
        <v>1</v>
      </c>
      <c r="S370">
        <f t="shared" si="46"/>
        <v>0</v>
      </c>
      <c r="T370" t="s">
        <v>22</v>
      </c>
      <c r="U370">
        <f t="shared" si="47"/>
        <v>1</v>
      </c>
      <c r="V370">
        <v>8.7524234038655937</v>
      </c>
      <c r="W370">
        <v>0</v>
      </c>
      <c r="X370">
        <v>12.072541252905651</v>
      </c>
      <c r="Y370" t="s">
        <v>23</v>
      </c>
    </row>
    <row r="371" spans="1:25" x14ac:dyDescent="0.3">
      <c r="A371" t="s">
        <v>400</v>
      </c>
      <c r="B371" t="s">
        <v>18</v>
      </c>
      <c r="C371">
        <f t="shared" si="40"/>
        <v>1</v>
      </c>
      <c r="D371" t="s">
        <v>25</v>
      </c>
      <c r="E371">
        <f t="shared" si="41"/>
        <v>1</v>
      </c>
      <c r="F371">
        <v>0</v>
      </c>
      <c r="G371" t="s">
        <v>20</v>
      </c>
      <c r="H371">
        <f t="shared" si="42"/>
        <v>1</v>
      </c>
      <c r="I371" t="s">
        <v>19</v>
      </c>
      <c r="J371">
        <f t="shared" si="43"/>
        <v>0</v>
      </c>
      <c r="K371">
        <v>19730</v>
      </c>
      <c r="L371">
        <v>5266</v>
      </c>
      <c r="M371">
        <v>570000</v>
      </c>
      <c r="N371">
        <v>360</v>
      </c>
      <c r="O371">
        <v>1</v>
      </c>
      <c r="P371" t="s">
        <v>26</v>
      </c>
      <c r="Q371">
        <f t="shared" si="44"/>
        <v>0</v>
      </c>
      <c r="R371">
        <f t="shared" si="45"/>
        <v>0</v>
      </c>
      <c r="S371">
        <f t="shared" si="46"/>
        <v>1</v>
      </c>
      <c r="T371" t="s">
        <v>27</v>
      </c>
      <c r="U371">
        <f t="shared" si="47"/>
        <v>0</v>
      </c>
      <c r="V371">
        <v>9.8899462819694612</v>
      </c>
      <c r="W371">
        <v>8.5692162194833887</v>
      </c>
      <c r="X371">
        <v>13.253391639810733</v>
      </c>
      <c r="Y371" t="s">
        <v>23</v>
      </c>
    </row>
    <row r="372" spans="1:25" x14ac:dyDescent="0.3">
      <c r="A372" t="s">
        <v>401</v>
      </c>
      <c r="B372" t="s">
        <v>48</v>
      </c>
      <c r="C372">
        <f t="shared" si="40"/>
        <v>0</v>
      </c>
      <c r="D372" t="s">
        <v>19</v>
      </c>
      <c r="E372">
        <f t="shared" si="41"/>
        <v>0</v>
      </c>
      <c r="F372">
        <v>0</v>
      </c>
      <c r="G372" t="s">
        <v>20</v>
      </c>
      <c r="H372">
        <f t="shared" si="42"/>
        <v>1</v>
      </c>
      <c r="I372" t="s">
        <v>25</v>
      </c>
      <c r="J372">
        <f t="shared" si="43"/>
        <v>1</v>
      </c>
      <c r="K372">
        <v>15759</v>
      </c>
      <c r="L372">
        <v>0</v>
      </c>
      <c r="M372">
        <v>55000</v>
      </c>
      <c r="N372">
        <v>360</v>
      </c>
      <c r="O372">
        <v>1</v>
      </c>
      <c r="P372" t="s">
        <v>35</v>
      </c>
      <c r="Q372">
        <f t="shared" si="44"/>
        <v>0</v>
      </c>
      <c r="R372">
        <f t="shared" si="45"/>
        <v>1</v>
      </c>
      <c r="S372">
        <f t="shared" si="46"/>
        <v>0</v>
      </c>
      <c r="T372" t="s">
        <v>22</v>
      </c>
      <c r="U372">
        <f t="shared" si="47"/>
        <v>1</v>
      </c>
      <c r="V372">
        <v>9.6652303634118706</v>
      </c>
      <c r="W372">
        <v>0</v>
      </c>
      <c r="X372">
        <v>10.915088464214607</v>
      </c>
      <c r="Y372" t="s">
        <v>23</v>
      </c>
    </row>
    <row r="373" spans="1:25" x14ac:dyDescent="0.3">
      <c r="A373" t="s">
        <v>402</v>
      </c>
      <c r="B373" t="s">
        <v>18</v>
      </c>
      <c r="C373">
        <f t="shared" si="40"/>
        <v>1</v>
      </c>
      <c r="D373" t="s">
        <v>25</v>
      </c>
      <c r="E373">
        <f t="shared" si="41"/>
        <v>1</v>
      </c>
      <c r="F373">
        <v>2</v>
      </c>
      <c r="G373" t="s">
        <v>20</v>
      </c>
      <c r="H373">
        <f t="shared" si="42"/>
        <v>1</v>
      </c>
      <c r="I373" t="s">
        <v>19</v>
      </c>
      <c r="J373">
        <f t="shared" si="43"/>
        <v>0</v>
      </c>
      <c r="K373">
        <v>5185</v>
      </c>
      <c r="L373">
        <v>0</v>
      </c>
      <c r="M373">
        <v>155000</v>
      </c>
      <c r="N373">
        <v>360</v>
      </c>
      <c r="O373">
        <v>1</v>
      </c>
      <c r="P373" t="s">
        <v>35</v>
      </c>
      <c r="Q373">
        <f t="shared" si="44"/>
        <v>0</v>
      </c>
      <c r="R373">
        <f t="shared" si="45"/>
        <v>1</v>
      </c>
      <c r="S373">
        <f t="shared" si="46"/>
        <v>0</v>
      </c>
      <c r="T373" t="s">
        <v>22</v>
      </c>
      <c r="U373">
        <f t="shared" si="47"/>
        <v>1</v>
      </c>
      <c r="V373">
        <v>8.5537179660986098</v>
      </c>
      <c r="W373">
        <v>0</v>
      </c>
      <c r="X373">
        <v>11.951180395901384</v>
      </c>
      <c r="Y373" t="s">
        <v>23</v>
      </c>
    </row>
    <row r="374" spans="1:25" x14ac:dyDescent="0.3">
      <c r="A374" t="s">
        <v>403</v>
      </c>
      <c r="B374" t="s">
        <v>18</v>
      </c>
      <c r="C374">
        <f t="shared" si="40"/>
        <v>1</v>
      </c>
      <c r="D374" t="s">
        <v>25</v>
      </c>
      <c r="E374">
        <f t="shared" si="41"/>
        <v>1</v>
      </c>
      <c r="F374">
        <v>2</v>
      </c>
      <c r="G374" t="s">
        <v>20</v>
      </c>
      <c r="H374">
        <f t="shared" si="42"/>
        <v>1</v>
      </c>
      <c r="I374" t="s">
        <v>25</v>
      </c>
      <c r="J374">
        <f t="shared" si="43"/>
        <v>1</v>
      </c>
      <c r="K374">
        <v>9323</v>
      </c>
      <c r="L374">
        <v>7873</v>
      </c>
      <c r="M374">
        <v>380000</v>
      </c>
      <c r="N374">
        <v>300</v>
      </c>
      <c r="O374">
        <v>1</v>
      </c>
      <c r="P374" t="s">
        <v>26</v>
      </c>
      <c r="Q374">
        <f t="shared" si="44"/>
        <v>0</v>
      </c>
      <c r="R374">
        <f t="shared" si="45"/>
        <v>0</v>
      </c>
      <c r="S374">
        <f t="shared" si="46"/>
        <v>1</v>
      </c>
      <c r="T374" t="s">
        <v>22</v>
      </c>
      <c r="U374">
        <f t="shared" si="47"/>
        <v>1</v>
      </c>
      <c r="V374">
        <v>9.1403470001556482</v>
      </c>
      <c r="W374">
        <v>8.971321471503682</v>
      </c>
      <c r="X374">
        <v>12.847926531702569</v>
      </c>
      <c r="Y374" t="s">
        <v>46</v>
      </c>
    </row>
    <row r="375" spans="1:25" x14ac:dyDescent="0.3">
      <c r="A375" t="s">
        <v>404</v>
      </c>
      <c r="B375" t="s">
        <v>18</v>
      </c>
      <c r="C375">
        <f t="shared" si="40"/>
        <v>1</v>
      </c>
      <c r="D375" t="s">
        <v>19</v>
      </c>
      <c r="E375">
        <f t="shared" si="41"/>
        <v>0</v>
      </c>
      <c r="F375">
        <v>1</v>
      </c>
      <c r="G375" t="s">
        <v>20</v>
      </c>
      <c r="H375">
        <f t="shared" si="42"/>
        <v>1</v>
      </c>
      <c r="I375" t="s">
        <v>19</v>
      </c>
      <c r="J375">
        <f t="shared" si="43"/>
        <v>0</v>
      </c>
      <c r="K375">
        <v>3062</v>
      </c>
      <c r="L375">
        <v>1987</v>
      </c>
      <c r="M375">
        <v>111000</v>
      </c>
      <c r="N375">
        <v>180</v>
      </c>
      <c r="O375">
        <v>0</v>
      </c>
      <c r="P375" t="s">
        <v>21</v>
      </c>
      <c r="Q375">
        <f t="shared" si="44"/>
        <v>1</v>
      </c>
      <c r="R375">
        <f t="shared" si="45"/>
        <v>0</v>
      </c>
      <c r="S375">
        <f t="shared" si="46"/>
        <v>0</v>
      </c>
      <c r="T375" t="s">
        <v>27</v>
      </c>
      <c r="U375">
        <f t="shared" si="47"/>
        <v>0</v>
      </c>
      <c r="V375">
        <v>8.0271501068327744</v>
      </c>
      <c r="W375">
        <v>7.5948843872165197</v>
      </c>
      <c r="X375">
        <v>11.617285480294472</v>
      </c>
      <c r="Y375" t="s">
        <v>46</v>
      </c>
    </row>
    <row r="376" spans="1:25" x14ac:dyDescent="0.3">
      <c r="A376" t="s">
        <v>405</v>
      </c>
      <c r="B376" t="s">
        <v>48</v>
      </c>
      <c r="C376">
        <f t="shared" si="40"/>
        <v>0</v>
      </c>
      <c r="D376" t="s">
        <v>19</v>
      </c>
      <c r="E376">
        <f t="shared" si="41"/>
        <v>0</v>
      </c>
      <c r="F376">
        <v>0</v>
      </c>
      <c r="G376" t="s">
        <v>20</v>
      </c>
      <c r="H376">
        <f t="shared" si="42"/>
        <v>1</v>
      </c>
      <c r="I376" t="s">
        <v>19</v>
      </c>
      <c r="J376">
        <f t="shared" si="43"/>
        <v>0</v>
      </c>
      <c r="K376">
        <v>2764</v>
      </c>
      <c r="L376">
        <v>1459</v>
      </c>
      <c r="M376">
        <v>110000</v>
      </c>
      <c r="N376">
        <v>360</v>
      </c>
      <c r="O376">
        <v>1</v>
      </c>
      <c r="P376" t="s">
        <v>21</v>
      </c>
      <c r="Q376">
        <f t="shared" si="44"/>
        <v>1</v>
      </c>
      <c r="R376">
        <f t="shared" si="45"/>
        <v>0</v>
      </c>
      <c r="S376">
        <f t="shared" si="46"/>
        <v>0</v>
      </c>
      <c r="T376" t="s">
        <v>22</v>
      </c>
      <c r="U376">
        <f t="shared" si="47"/>
        <v>1</v>
      </c>
      <c r="V376">
        <v>7.9247959139564346</v>
      </c>
      <c r="W376">
        <v>7.2861917147023822</v>
      </c>
      <c r="X376">
        <v>11.608235644774552</v>
      </c>
      <c r="Y376" t="s">
        <v>23</v>
      </c>
    </row>
    <row r="377" spans="1:25" x14ac:dyDescent="0.3">
      <c r="A377" t="s">
        <v>406</v>
      </c>
      <c r="B377" t="s">
        <v>18</v>
      </c>
      <c r="C377">
        <f t="shared" si="40"/>
        <v>1</v>
      </c>
      <c r="D377" t="s">
        <v>25</v>
      </c>
      <c r="E377">
        <f t="shared" si="41"/>
        <v>1</v>
      </c>
      <c r="F377">
        <v>0</v>
      </c>
      <c r="G377" t="s">
        <v>20</v>
      </c>
      <c r="H377">
        <f t="shared" si="42"/>
        <v>1</v>
      </c>
      <c r="I377" t="s">
        <v>19</v>
      </c>
      <c r="J377">
        <f t="shared" si="43"/>
        <v>0</v>
      </c>
      <c r="K377">
        <v>4817</v>
      </c>
      <c r="L377">
        <v>923</v>
      </c>
      <c r="M377">
        <v>120000</v>
      </c>
      <c r="N377">
        <v>180</v>
      </c>
      <c r="O377">
        <v>1</v>
      </c>
      <c r="P377" t="s">
        <v>21</v>
      </c>
      <c r="Q377">
        <f t="shared" si="44"/>
        <v>1</v>
      </c>
      <c r="R377">
        <f t="shared" si="45"/>
        <v>0</v>
      </c>
      <c r="S377">
        <f t="shared" si="46"/>
        <v>0</v>
      </c>
      <c r="T377" t="s">
        <v>22</v>
      </c>
      <c r="U377">
        <f t="shared" si="47"/>
        <v>1</v>
      </c>
      <c r="V377">
        <v>8.4801141831748161</v>
      </c>
      <c r="W377">
        <v>6.828712071641684</v>
      </c>
      <c r="X377">
        <v>11.695247021764184</v>
      </c>
      <c r="Y377" t="s">
        <v>46</v>
      </c>
    </row>
    <row r="378" spans="1:25" x14ac:dyDescent="0.3">
      <c r="A378" t="s">
        <v>407</v>
      </c>
      <c r="B378" t="s">
        <v>18</v>
      </c>
      <c r="C378">
        <f t="shared" si="40"/>
        <v>1</v>
      </c>
      <c r="D378" t="s">
        <v>25</v>
      </c>
      <c r="E378">
        <f t="shared" si="41"/>
        <v>1</v>
      </c>
      <c r="F378">
        <v>3</v>
      </c>
      <c r="G378" t="s">
        <v>20</v>
      </c>
      <c r="H378">
        <f t="shared" si="42"/>
        <v>1</v>
      </c>
      <c r="I378" t="s">
        <v>19</v>
      </c>
      <c r="J378">
        <f t="shared" si="43"/>
        <v>0</v>
      </c>
      <c r="K378">
        <v>8750</v>
      </c>
      <c r="L378">
        <v>4996</v>
      </c>
      <c r="M378">
        <v>130000</v>
      </c>
      <c r="N378">
        <v>360</v>
      </c>
      <c r="O378">
        <v>1</v>
      </c>
      <c r="P378" t="s">
        <v>26</v>
      </c>
      <c r="Q378">
        <f t="shared" si="44"/>
        <v>0</v>
      </c>
      <c r="R378">
        <f t="shared" si="45"/>
        <v>0</v>
      </c>
      <c r="S378">
        <f t="shared" si="46"/>
        <v>1</v>
      </c>
      <c r="T378" t="s">
        <v>22</v>
      </c>
      <c r="U378">
        <f t="shared" si="47"/>
        <v>1</v>
      </c>
      <c r="V378">
        <v>9.0769232585358317</v>
      </c>
      <c r="W378">
        <v>8.5165930113442059</v>
      </c>
      <c r="X378">
        <v>11.77528972943772</v>
      </c>
      <c r="Y378" t="s">
        <v>23</v>
      </c>
    </row>
    <row r="379" spans="1:25" x14ac:dyDescent="0.3">
      <c r="A379" t="s">
        <v>408</v>
      </c>
      <c r="B379" t="s">
        <v>18</v>
      </c>
      <c r="C379">
        <f t="shared" si="40"/>
        <v>1</v>
      </c>
      <c r="D379" t="s">
        <v>25</v>
      </c>
      <c r="E379">
        <f t="shared" si="41"/>
        <v>1</v>
      </c>
      <c r="F379">
        <v>0</v>
      </c>
      <c r="G379" t="s">
        <v>20</v>
      </c>
      <c r="H379">
        <f t="shared" si="42"/>
        <v>1</v>
      </c>
      <c r="I379" t="s">
        <v>19</v>
      </c>
      <c r="J379">
        <f t="shared" si="43"/>
        <v>0</v>
      </c>
      <c r="K379">
        <v>4310</v>
      </c>
      <c r="L379">
        <v>0</v>
      </c>
      <c r="M379">
        <v>130000</v>
      </c>
      <c r="N379">
        <v>360</v>
      </c>
      <c r="O379">
        <v>1</v>
      </c>
      <c r="P379" t="s">
        <v>35</v>
      </c>
      <c r="Q379">
        <f t="shared" si="44"/>
        <v>0</v>
      </c>
      <c r="R379">
        <f t="shared" si="45"/>
        <v>1</v>
      </c>
      <c r="S379">
        <f t="shared" si="46"/>
        <v>0</v>
      </c>
      <c r="T379" t="s">
        <v>22</v>
      </c>
      <c r="U379">
        <f t="shared" si="47"/>
        <v>1</v>
      </c>
      <c r="V379">
        <v>8.3689251747471349</v>
      </c>
      <c r="W379">
        <v>0</v>
      </c>
      <c r="X379">
        <v>11.77528972943772</v>
      </c>
      <c r="Y379" t="s">
        <v>23</v>
      </c>
    </row>
    <row r="380" spans="1:25" x14ac:dyDescent="0.3">
      <c r="A380" t="s">
        <v>409</v>
      </c>
      <c r="B380" t="s">
        <v>18</v>
      </c>
      <c r="C380">
        <f t="shared" si="40"/>
        <v>1</v>
      </c>
      <c r="D380" t="s">
        <v>19</v>
      </c>
      <c r="E380">
        <f t="shared" si="41"/>
        <v>0</v>
      </c>
      <c r="F380">
        <v>0</v>
      </c>
      <c r="G380" t="s">
        <v>20</v>
      </c>
      <c r="H380">
        <f t="shared" si="42"/>
        <v>1</v>
      </c>
      <c r="I380" t="s">
        <v>19</v>
      </c>
      <c r="J380">
        <f t="shared" si="43"/>
        <v>0</v>
      </c>
      <c r="K380">
        <v>3069</v>
      </c>
      <c r="L380">
        <v>0</v>
      </c>
      <c r="M380">
        <v>71000</v>
      </c>
      <c r="N380">
        <v>480</v>
      </c>
      <c r="O380">
        <v>1</v>
      </c>
      <c r="P380" t="s">
        <v>21</v>
      </c>
      <c r="Q380">
        <f t="shared" si="44"/>
        <v>1</v>
      </c>
      <c r="R380">
        <f t="shared" si="45"/>
        <v>0</v>
      </c>
      <c r="S380">
        <f t="shared" si="46"/>
        <v>0</v>
      </c>
      <c r="T380" t="s">
        <v>27</v>
      </c>
      <c r="U380">
        <f t="shared" si="47"/>
        <v>0</v>
      </c>
      <c r="V380">
        <v>8.0294328405812436</v>
      </c>
      <c r="W380">
        <v>0</v>
      </c>
      <c r="X380">
        <v>11.170435156023453</v>
      </c>
      <c r="Y380" t="s">
        <v>23</v>
      </c>
    </row>
    <row r="381" spans="1:25" x14ac:dyDescent="0.3">
      <c r="A381" t="s">
        <v>410</v>
      </c>
      <c r="B381" t="s">
        <v>18</v>
      </c>
      <c r="C381">
        <f t="shared" si="40"/>
        <v>1</v>
      </c>
      <c r="D381" t="s">
        <v>25</v>
      </c>
      <c r="E381">
        <f t="shared" si="41"/>
        <v>1</v>
      </c>
      <c r="F381">
        <v>2</v>
      </c>
      <c r="G381" t="s">
        <v>20</v>
      </c>
      <c r="H381">
        <f t="shared" si="42"/>
        <v>1</v>
      </c>
      <c r="I381" t="s">
        <v>19</v>
      </c>
      <c r="J381">
        <f t="shared" si="43"/>
        <v>0</v>
      </c>
      <c r="K381">
        <v>5391</v>
      </c>
      <c r="L381">
        <v>0</v>
      </c>
      <c r="M381">
        <v>130000</v>
      </c>
      <c r="N381">
        <v>360</v>
      </c>
      <c r="O381">
        <v>1</v>
      </c>
      <c r="P381" t="s">
        <v>21</v>
      </c>
      <c r="Q381">
        <f t="shared" si="44"/>
        <v>1</v>
      </c>
      <c r="R381">
        <f t="shared" si="45"/>
        <v>0</v>
      </c>
      <c r="S381">
        <f t="shared" si="46"/>
        <v>0</v>
      </c>
      <c r="T381" t="s">
        <v>22</v>
      </c>
      <c r="U381">
        <f t="shared" si="47"/>
        <v>1</v>
      </c>
      <c r="V381">
        <v>8.5926716525921432</v>
      </c>
      <c r="W381">
        <v>0</v>
      </c>
      <c r="X381">
        <v>11.77528972943772</v>
      </c>
      <c r="Y381" t="s">
        <v>23</v>
      </c>
    </row>
    <row r="382" spans="1:25" x14ac:dyDescent="0.3">
      <c r="A382" t="s">
        <v>411</v>
      </c>
      <c r="B382" t="s">
        <v>18</v>
      </c>
      <c r="C382">
        <f t="shared" si="40"/>
        <v>1</v>
      </c>
      <c r="D382" t="s">
        <v>25</v>
      </c>
      <c r="E382">
        <f t="shared" si="41"/>
        <v>1</v>
      </c>
      <c r="F382">
        <v>0</v>
      </c>
      <c r="G382" t="s">
        <v>20</v>
      </c>
      <c r="H382">
        <f t="shared" si="42"/>
        <v>1</v>
      </c>
      <c r="I382" t="s">
        <v>19</v>
      </c>
      <c r="J382">
        <f t="shared" si="43"/>
        <v>0</v>
      </c>
      <c r="K382">
        <v>3333</v>
      </c>
      <c r="L382">
        <v>2500</v>
      </c>
      <c r="M382">
        <v>128000</v>
      </c>
      <c r="N382">
        <v>360</v>
      </c>
      <c r="O382">
        <v>1</v>
      </c>
      <c r="P382" t="s">
        <v>35</v>
      </c>
      <c r="Q382">
        <f t="shared" si="44"/>
        <v>0</v>
      </c>
      <c r="R382">
        <f t="shared" si="45"/>
        <v>1</v>
      </c>
      <c r="S382">
        <f t="shared" si="46"/>
        <v>0</v>
      </c>
      <c r="T382" t="s">
        <v>22</v>
      </c>
      <c r="U382">
        <f t="shared" si="47"/>
        <v>1</v>
      </c>
      <c r="V382">
        <v>8.1119280633107387</v>
      </c>
      <c r="W382">
        <v>7.8244459308776193</v>
      </c>
      <c r="X382">
        <v>11.759785542901755</v>
      </c>
      <c r="Y382" t="s">
        <v>23</v>
      </c>
    </row>
    <row r="383" spans="1:25" x14ac:dyDescent="0.3">
      <c r="A383" t="s">
        <v>412</v>
      </c>
      <c r="B383" t="s">
        <v>18</v>
      </c>
      <c r="C383">
        <f t="shared" si="40"/>
        <v>1</v>
      </c>
      <c r="D383" t="s">
        <v>19</v>
      </c>
      <c r="E383">
        <f t="shared" si="41"/>
        <v>0</v>
      </c>
      <c r="F383">
        <v>0</v>
      </c>
      <c r="G383" t="s">
        <v>20</v>
      </c>
      <c r="H383">
        <f t="shared" si="42"/>
        <v>1</v>
      </c>
      <c r="I383" t="s">
        <v>19</v>
      </c>
      <c r="J383">
        <f t="shared" si="43"/>
        <v>0</v>
      </c>
      <c r="K383">
        <v>5941</v>
      </c>
      <c r="L383">
        <v>4232</v>
      </c>
      <c r="M383">
        <v>296000</v>
      </c>
      <c r="N383">
        <v>360</v>
      </c>
      <c r="O383">
        <v>1</v>
      </c>
      <c r="P383" t="s">
        <v>35</v>
      </c>
      <c r="Q383">
        <f t="shared" si="44"/>
        <v>0</v>
      </c>
      <c r="R383">
        <f t="shared" si="45"/>
        <v>1</v>
      </c>
      <c r="S383">
        <f t="shared" si="46"/>
        <v>0</v>
      </c>
      <c r="T383" t="s">
        <v>22</v>
      </c>
      <c r="U383">
        <f t="shared" si="47"/>
        <v>1</v>
      </c>
      <c r="V383">
        <v>8.6898010560225529</v>
      </c>
      <c r="W383">
        <v>8.3506662405209244</v>
      </c>
      <c r="X383">
        <v>12.598114733306197</v>
      </c>
      <c r="Y383" t="s">
        <v>23</v>
      </c>
    </row>
    <row r="384" spans="1:25" x14ac:dyDescent="0.3">
      <c r="A384" t="s">
        <v>413</v>
      </c>
      <c r="B384" t="s">
        <v>48</v>
      </c>
      <c r="C384">
        <f t="shared" si="40"/>
        <v>0</v>
      </c>
      <c r="D384" t="s">
        <v>19</v>
      </c>
      <c r="E384">
        <f t="shared" si="41"/>
        <v>0</v>
      </c>
      <c r="F384">
        <v>0</v>
      </c>
      <c r="G384" t="s">
        <v>20</v>
      </c>
      <c r="H384">
        <f t="shared" si="42"/>
        <v>1</v>
      </c>
      <c r="I384" t="s">
        <v>19</v>
      </c>
      <c r="J384">
        <f t="shared" si="43"/>
        <v>0</v>
      </c>
      <c r="K384">
        <v>6000</v>
      </c>
      <c r="L384">
        <v>0</v>
      </c>
      <c r="M384">
        <v>156000</v>
      </c>
      <c r="N384">
        <v>360</v>
      </c>
      <c r="O384">
        <v>1</v>
      </c>
      <c r="P384" t="s">
        <v>21</v>
      </c>
      <c r="Q384">
        <f t="shared" si="44"/>
        <v>1</v>
      </c>
      <c r="R384">
        <f t="shared" si="45"/>
        <v>0</v>
      </c>
      <c r="S384">
        <f t="shared" si="46"/>
        <v>0</v>
      </c>
      <c r="T384" t="s">
        <v>22</v>
      </c>
      <c r="U384">
        <f t="shared" si="47"/>
        <v>1</v>
      </c>
      <c r="V384">
        <v>8.6996814009895136</v>
      </c>
      <c r="W384">
        <v>0</v>
      </c>
      <c r="X384">
        <v>11.957611286231675</v>
      </c>
      <c r="Y384" t="s">
        <v>23</v>
      </c>
    </row>
    <row r="385" spans="1:25" x14ac:dyDescent="0.3">
      <c r="A385" t="s">
        <v>414</v>
      </c>
      <c r="B385" t="s">
        <v>18</v>
      </c>
      <c r="C385">
        <f t="shared" si="40"/>
        <v>1</v>
      </c>
      <c r="D385" t="s">
        <v>19</v>
      </c>
      <c r="E385">
        <f t="shared" si="41"/>
        <v>0</v>
      </c>
      <c r="F385">
        <v>0</v>
      </c>
      <c r="G385" t="s">
        <v>20</v>
      </c>
      <c r="H385">
        <f t="shared" si="42"/>
        <v>1</v>
      </c>
      <c r="I385" t="s">
        <v>25</v>
      </c>
      <c r="J385">
        <f t="shared" si="43"/>
        <v>1</v>
      </c>
      <c r="K385">
        <v>7167</v>
      </c>
      <c r="L385">
        <v>0</v>
      </c>
      <c r="M385">
        <v>128000</v>
      </c>
      <c r="N385">
        <v>360</v>
      </c>
      <c r="O385">
        <v>1</v>
      </c>
      <c r="P385" t="s">
        <v>21</v>
      </c>
      <c r="Q385">
        <f t="shared" si="44"/>
        <v>1</v>
      </c>
      <c r="R385">
        <f t="shared" si="45"/>
        <v>0</v>
      </c>
      <c r="S385">
        <f t="shared" si="46"/>
        <v>0</v>
      </c>
      <c r="T385" t="s">
        <v>22</v>
      </c>
      <c r="U385">
        <f t="shared" si="47"/>
        <v>1</v>
      </c>
      <c r="V385">
        <v>8.8773819546547657</v>
      </c>
      <c r="W385">
        <v>0</v>
      </c>
      <c r="X385">
        <v>11.759785542901755</v>
      </c>
      <c r="Y385" t="s">
        <v>23</v>
      </c>
    </row>
    <row r="386" spans="1:25" x14ac:dyDescent="0.3">
      <c r="A386" t="s">
        <v>415</v>
      </c>
      <c r="B386" t="s">
        <v>18</v>
      </c>
      <c r="C386">
        <f t="shared" si="40"/>
        <v>1</v>
      </c>
      <c r="D386" t="s">
        <v>25</v>
      </c>
      <c r="E386">
        <f t="shared" si="41"/>
        <v>1</v>
      </c>
      <c r="F386">
        <v>2</v>
      </c>
      <c r="G386" t="s">
        <v>20</v>
      </c>
      <c r="H386">
        <f t="shared" si="42"/>
        <v>1</v>
      </c>
      <c r="I386" t="s">
        <v>19</v>
      </c>
      <c r="J386">
        <f t="shared" si="43"/>
        <v>0</v>
      </c>
      <c r="K386">
        <v>4566</v>
      </c>
      <c r="L386">
        <v>0</v>
      </c>
      <c r="M386">
        <v>100000</v>
      </c>
      <c r="N386">
        <v>360</v>
      </c>
      <c r="O386">
        <v>1</v>
      </c>
      <c r="P386" t="s">
        <v>21</v>
      </c>
      <c r="Q386">
        <f t="shared" si="44"/>
        <v>1</v>
      </c>
      <c r="R386">
        <f t="shared" si="45"/>
        <v>0</v>
      </c>
      <c r="S386">
        <f t="shared" si="46"/>
        <v>0</v>
      </c>
      <c r="T386" t="s">
        <v>27</v>
      </c>
      <c r="U386">
        <f t="shared" si="47"/>
        <v>0</v>
      </c>
      <c r="V386">
        <v>8.4266118131849996</v>
      </c>
      <c r="W386">
        <v>0</v>
      </c>
      <c r="X386">
        <v>11.512925464970229</v>
      </c>
      <c r="Y386" t="s">
        <v>23</v>
      </c>
    </row>
    <row r="387" spans="1:25" x14ac:dyDescent="0.3">
      <c r="A387" t="s">
        <v>416</v>
      </c>
      <c r="B387" t="s">
        <v>18</v>
      </c>
      <c r="C387">
        <f t="shared" ref="C387:C450" si="48">IF(B387="Male",1,0)</f>
        <v>1</v>
      </c>
      <c r="D387" t="s">
        <v>19</v>
      </c>
      <c r="E387">
        <f t="shared" ref="E387:E450" si="49">IF(D387="No",0,1)</f>
        <v>0</v>
      </c>
      <c r="F387">
        <v>1</v>
      </c>
      <c r="G387" t="s">
        <v>20</v>
      </c>
      <c r="H387">
        <f t="shared" ref="H387:H450" si="50">IF(G387="Graduate",1,0)</f>
        <v>1</v>
      </c>
      <c r="I387" t="s">
        <v>19</v>
      </c>
      <c r="J387">
        <f t="shared" ref="J387:J450" si="51">IF(I387="No",0,1)</f>
        <v>0</v>
      </c>
      <c r="K387">
        <v>3667</v>
      </c>
      <c r="L387">
        <v>0</v>
      </c>
      <c r="M387">
        <v>113000</v>
      </c>
      <c r="N387">
        <v>180</v>
      </c>
      <c r="O387">
        <v>1</v>
      </c>
      <c r="P387" t="s">
        <v>21</v>
      </c>
      <c r="Q387">
        <f t="shared" ref="Q387:Q450" si="52">IF(P387="Urban",1,0)</f>
        <v>1</v>
      </c>
      <c r="R387">
        <f t="shared" ref="R387:R450" si="53">IF(P387="Semiurban",1,0)</f>
        <v>0</v>
      </c>
      <c r="S387">
        <f t="shared" ref="S387:S450" si="54">IF(P387="Rural",1,0)</f>
        <v>0</v>
      </c>
      <c r="T387" t="s">
        <v>22</v>
      </c>
      <c r="U387">
        <f t="shared" ref="U387:U450" si="55">IF(T387="Y",1,0)</f>
        <v>1</v>
      </c>
      <c r="V387">
        <v>8.2074018333763554</v>
      </c>
      <c r="W387">
        <v>0</v>
      </c>
      <c r="X387">
        <v>11.635143097694478</v>
      </c>
      <c r="Y387" t="s">
        <v>46</v>
      </c>
    </row>
    <row r="388" spans="1:25" x14ac:dyDescent="0.3">
      <c r="A388" t="s">
        <v>417</v>
      </c>
      <c r="B388" t="s">
        <v>18</v>
      </c>
      <c r="C388">
        <f t="shared" si="48"/>
        <v>1</v>
      </c>
      <c r="D388" t="s">
        <v>19</v>
      </c>
      <c r="E388">
        <f t="shared" si="49"/>
        <v>0</v>
      </c>
      <c r="F388">
        <v>0</v>
      </c>
      <c r="G388" t="s">
        <v>30</v>
      </c>
      <c r="H388">
        <f t="shared" si="50"/>
        <v>0</v>
      </c>
      <c r="I388" t="s">
        <v>19</v>
      </c>
      <c r="J388">
        <f t="shared" si="51"/>
        <v>0</v>
      </c>
      <c r="K388">
        <v>2346</v>
      </c>
      <c r="L388">
        <v>1600</v>
      </c>
      <c r="M388">
        <v>132000</v>
      </c>
      <c r="N388">
        <v>360</v>
      </c>
      <c r="O388">
        <v>1</v>
      </c>
      <c r="P388" t="s">
        <v>35</v>
      </c>
      <c r="Q388">
        <f t="shared" si="52"/>
        <v>0</v>
      </c>
      <c r="R388">
        <f t="shared" si="53"/>
        <v>1</v>
      </c>
      <c r="S388">
        <f t="shared" si="54"/>
        <v>0</v>
      </c>
      <c r="T388" t="s">
        <v>22</v>
      </c>
      <c r="U388">
        <f t="shared" si="55"/>
        <v>1</v>
      </c>
      <c r="V388">
        <v>7.7608931958510237</v>
      </c>
      <c r="W388">
        <v>7.3783837129967136</v>
      </c>
      <c r="X388">
        <v>11.790557201568507</v>
      </c>
      <c r="Y388" t="s">
        <v>23</v>
      </c>
    </row>
    <row r="389" spans="1:25" x14ac:dyDescent="0.3">
      <c r="A389" t="s">
        <v>418</v>
      </c>
      <c r="B389" t="s">
        <v>18</v>
      </c>
      <c r="C389">
        <f t="shared" si="48"/>
        <v>1</v>
      </c>
      <c r="D389" t="s">
        <v>25</v>
      </c>
      <c r="E389">
        <f t="shared" si="49"/>
        <v>1</v>
      </c>
      <c r="F389">
        <v>0</v>
      </c>
      <c r="G389" t="s">
        <v>30</v>
      </c>
      <c r="H389">
        <f t="shared" si="50"/>
        <v>0</v>
      </c>
      <c r="I389" t="s">
        <v>19</v>
      </c>
      <c r="J389">
        <f t="shared" si="51"/>
        <v>0</v>
      </c>
      <c r="K389">
        <v>3010</v>
      </c>
      <c r="L389">
        <v>3136</v>
      </c>
      <c r="M389">
        <v>128000</v>
      </c>
      <c r="N389">
        <v>360</v>
      </c>
      <c r="O389">
        <v>0</v>
      </c>
      <c r="P389" t="s">
        <v>21</v>
      </c>
      <c r="Q389">
        <f t="shared" si="52"/>
        <v>1</v>
      </c>
      <c r="R389">
        <f t="shared" si="53"/>
        <v>0</v>
      </c>
      <c r="S389">
        <f t="shared" si="54"/>
        <v>0</v>
      </c>
      <c r="T389" t="s">
        <v>27</v>
      </c>
      <c r="U389">
        <f t="shared" si="55"/>
        <v>0</v>
      </c>
      <c r="V389">
        <v>8.0100275284817339</v>
      </c>
      <c r="W389">
        <v>8.0510222081906786</v>
      </c>
      <c r="X389">
        <v>11.759785542901755</v>
      </c>
      <c r="Y389" t="s">
        <v>23</v>
      </c>
    </row>
    <row r="390" spans="1:25" x14ac:dyDescent="0.3">
      <c r="A390" t="s">
        <v>419</v>
      </c>
      <c r="B390" t="s">
        <v>18</v>
      </c>
      <c r="C390">
        <f t="shared" si="48"/>
        <v>1</v>
      </c>
      <c r="D390" t="s">
        <v>25</v>
      </c>
      <c r="E390">
        <f t="shared" si="49"/>
        <v>1</v>
      </c>
      <c r="F390">
        <v>0</v>
      </c>
      <c r="G390" t="s">
        <v>20</v>
      </c>
      <c r="H390">
        <f t="shared" si="50"/>
        <v>1</v>
      </c>
      <c r="I390" t="s">
        <v>19</v>
      </c>
      <c r="J390">
        <f t="shared" si="51"/>
        <v>0</v>
      </c>
      <c r="K390">
        <v>2333</v>
      </c>
      <c r="L390">
        <v>2417</v>
      </c>
      <c r="M390">
        <v>136000</v>
      </c>
      <c r="N390">
        <v>360</v>
      </c>
      <c r="O390">
        <v>1</v>
      </c>
      <c r="P390" t="s">
        <v>21</v>
      </c>
      <c r="Q390">
        <f t="shared" si="52"/>
        <v>1</v>
      </c>
      <c r="R390">
        <f t="shared" si="53"/>
        <v>0</v>
      </c>
      <c r="S390">
        <f t="shared" si="54"/>
        <v>0</v>
      </c>
      <c r="T390" t="s">
        <v>22</v>
      </c>
      <c r="U390">
        <f t="shared" si="55"/>
        <v>1</v>
      </c>
      <c r="V390">
        <v>7.7553388128465013</v>
      </c>
      <c r="W390">
        <v>7.790696031174738</v>
      </c>
      <c r="X390">
        <v>11.820410164718188</v>
      </c>
      <c r="Y390" t="s">
        <v>23</v>
      </c>
    </row>
    <row r="391" spans="1:25" x14ac:dyDescent="0.3">
      <c r="A391" t="s">
        <v>420</v>
      </c>
      <c r="B391" t="s">
        <v>18</v>
      </c>
      <c r="C391">
        <f t="shared" si="48"/>
        <v>1</v>
      </c>
      <c r="D391" t="s">
        <v>25</v>
      </c>
      <c r="E391">
        <f t="shared" si="49"/>
        <v>1</v>
      </c>
      <c r="F391">
        <v>0</v>
      </c>
      <c r="G391" t="s">
        <v>20</v>
      </c>
      <c r="H391">
        <f t="shared" si="50"/>
        <v>1</v>
      </c>
      <c r="I391" t="s">
        <v>19</v>
      </c>
      <c r="J391">
        <f t="shared" si="51"/>
        <v>0</v>
      </c>
      <c r="K391">
        <v>5488</v>
      </c>
      <c r="L391">
        <v>0</v>
      </c>
      <c r="M391">
        <v>125000</v>
      </c>
      <c r="N391">
        <v>360</v>
      </c>
      <c r="O391">
        <v>1</v>
      </c>
      <c r="P391" t="s">
        <v>26</v>
      </c>
      <c r="Q391">
        <f t="shared" si="52"/>
        <v>0</v>
      </c>
      <c r="R391">
        <f t="shared" si="53"/>
        <v>0</v>
      </c>
      <c r="S391">
        <f t="shared" si="54"/>
        <v>1</v>
      </c>
      <c r="T391" t="s">
        <v>22</v>
      </c>
      <c r="U391">
        <f t="shared" si="55"/>
        <v>1</v>
      </c>
      <c r="V391">
        <v>8.6105013685498886</v>
      </c>
      <c r="W391">
        <v>0</v>
      </c>
      <c r="X391">
        <v>11.736069016284437</v>
      </c>
      <c r="Y391" t="s">
        <v>23</v>
      </c>
    </row>
    <row r="392" spans="1:25" x14ac:dyDescent="0.3">
      <c r="A392" t="s">
        <v>421</v>
      </c>
      <c r="B392" t="s">
        <v>18</v>
      </c>
      <c r="C392">
        <f t="shared" si="48"/>
        <v>1</v>
      </c>
      <c r="D392" t="s">
        <v>19</v>
      </c>
      <c r="E392">
        <f t="shared" si="49"/>
        <v>0</v>
      </c>
      <c r="F392">
        <v>3</v>
      </c>
      <c r="G392" t="s">
        <v>20</v>
      </c>
      <c r="H392">
        <f t="shared" si="50"/>
        <v>1</v>
      </c>
      <c r="I392" t="s">
        <v>19</v>
      </c>
      <c r="J392">
        <f t="shared" si="51"/>
        <v>0</v>
      </c>
      <c r="K392">
        <v>9167</v>
      </c>
      <c r="L392">
        <v>0</v>
      </c>
      <c r="M392">
        <v>185000</v>
      </c>
      <c r="N392">
        <v>360</v>
      </c>
      <c r="O392">
        <v>1</v>
      </c>
      <c r="P392" t="s">
        <v>26</v>
      </c>
      <c r="Q392">
        <f t="shared" si="52"/>
        <v>0</v>
      </c>
      <c r="R392">
        <f t="shared" si="53"/>
        <v>0</v>
      </c>
      <c r="S392">
        <f t="shared" si="54"/>
        <v>1</v>
      </c>
      <c r="T392" t="s">
        <v>22</v>
      </c>
      <c r="U392">
        <f t="shared" si="55"/>
        <v>1</v>
      </c>
      <c r="V392">
        <v>9.1234744389545206</v>
      </c>
      <c r="W392">
        <v>0</v>
      </c>
      <c r="X392">
        <v>12.128111104060462</v>
      </c>
      <c r="Y392" t="s">
        <v>23</v>
      </c>
    </row>
    <row r="393" spans="1:25" x14ac:dyDescent="0.3">
      <c r="A393" t="s">
        <v>422</v>
      </c>
      <c r="B393" t="s">
        <v>18</v>
      </c>
      <c r="C393">
        <f t="shared" si="48"/>
        <v>1</v>
      </c>
      <c r="D393" t="s">
        <v>25</v>
      </c>
      <c r="E393">
        <f t="shared" si="49"/>
        <v>1</v>
      </c>
      <c r="F393">
        <v>3</v>
      </c>
      <c r="G393" t="s">
        <v>20</v>
      </c>
      <c r="H393">
        <f t="shared" si="50"/>
        <v>1</v>
      </c>
      <c r="I393" t="s">
        <v>19</v>
      </c>
      <c r="J393">
        <f t="shared" si="51"/>
        <v>0</v>
      </c>
      <c r="K393">
        <v>9504</v>
      </c>
      <c r="L393">
        <v>0</v>
      </c>
      <c r="M393">
        <v>275000</v>
      </c>
      <c r="N393">
        <v>360</v>
      </c>
      <c r="O393">
        <v>1</v>
      </c>
      <c r="P393" t="s">
        <v>26</v>
      </c>
      <c r="Q393">
        <f t="shared" si="52"/>
        <v>0</v>
      </c>
      <c r="R393">
        <f t="shared" si="53"/>
        <v>0</v>
      </c>
      <c r="S393">
        <f t="shared" si="54"/>
        <v>1</v>
      </c>
      <c r="T393" t="s">
        <v>22</v>
      </c>
      <c r="U393">
        <f t="shared" si="55"/>
        <v>1</v>
      </c>
      <c r="V393">
        <v>9.1595732549225293</v>
      </c>
      <c r="W393">
        <v>0</v>
      </c>
      <c r="X393">
        <v>12.524526376648708</v>
      </c>
      <c r="Y393" t="s">
        <v>23</v>
      </c>
    </row>
    <row r="394" spans="1:25" x14ac:dyDescent="0.3">
      <c r="A394" t="s">
        <v>423</v>
      </c>
      <c r="B394" t="s">
        <v>18</v>
      </c>
      <c r="C394">
        <f t="shared" si="48"/>
        <v>1</v>
      </c>
      <c r="D394" t="s">
        <v>25</v>
      </c>
      <c r="E394">
        <f t="shared" si="49"/>
        <v>1</v>
      </c>
      <c r="F394">
        <v>0</v>
      </c>
      <c r="G394" t="s">
        <v>20</v>
      </c>
      <c r="H394">
        <f t="shared" si="50"/>
        <v>1</v>
      </c>
      <c r="I394" t="s">
        <v>19</v>
      </c>
      <c r="J394">
        <f t="shared" si="51"/>
        <v>0</v>
      </c>
      <c r="K394">
        <v>2583</v>
      </c>
      <c r="L394">
        <v>2115</v>
      </c>
      <c r="M394">
        <v>120000</v>
      </c>
      <c r="N394">
        <v>360</v>
      </c>
      <c r="O394">
        <v>1</v>
      </c>
      <c r="P394" t="s">
        <v>21</v>
      </c>
      <c r="Q394">
        <f t="shared" si="52"/>
        <v>1</v>
      </c>
      <c r="R394">
        <f t="shared" si="53"/>
        <v>0</v>
      </c>
      <c r="S394">
        <f t="shared" si="54"/>
        <v>0</v>
      </c>
      <c r="T394" t="s">
        <v>22</v>
      </c>
      <c r="U394">
        <f t="shared" si="55"/>
        <v>1</v>
      </c>
      <c r="V394">
        <v>7.8570938649024926</v>
      </c>
      <c r="W394">
        <v>7.6572827929781901</v>
      </c>
      <c r="X394">
        <v>11.695247021764184</v>
      </c>
      <c r="Y394" t="s">
        <v>23</v>
      </c>
    </row>
    <row r="395" spans="1:25" x14ac:dyDescent="0.3">
      <c r="A395" t="s">
        <v>424</v>
      </c>
      <c r="B395" t="s">
        <v>18</v>
      </c>
      <c r="C395">
        <f t="shared" si="48"/>
        <v>1</v>
      </c>
      <c r="D395" t="s">
        <v>25</v>
      </c>
      <c r="E395">
        <f t="shared" si="49"/>
        <v>1</v>
      </c>
      <c r="F395">
        <v>2</v>
      </c>
      <c r="G395" t="s">
        <v>30</v>
      </c>
      <c r="H395">
        <f t="shared" si="50"/>
        <v>0</v>
      </c>
      <c r="I395" t="s">
        <v>19</v>
      </c>
      <c r="J395">
        <f t="shared" si="51"/>
        <v>0</v>
      </c>
      <c r="K395">
        <v>1993</v>
      </c>
      <c r="L395">
        <v>1625</v>
      </c>
      <c r="M395">
        <v>113000</v>
      </c>
      <c r="N395">
        <v>180</v>
      </c>
      <c r="O395">
        <v>1</v>
      </c>
      <c r="P395" t="s">
        <v>35</v>
      </c>
      <c r="Q395">
        <f t="shared" si="52"/>
        <v>0</v>
      </c>
      <c r="R395">
        <f t="shared" si="53"/>
        <v>1</v>
      </c>
      <c r="S395">
        <f t="shared" si="54"/>
        <v>0</v>
      </c>
      <c r="T395" t="s">
        <v>22</v>
      </c>
      <c r="U395">
        <f t="shared" si="55"/>
        <v>1</v>
      </c>
      <c r="V395">
        <v>7.5978979505217836</v>
      </c>
      <c r="W395">
        <v>7.3938782901077564</v>
      </c>
      <c r="X395">
        <v>11.635143097694478</v>
      </c>
      <c r="Y395" t="s">
        <v>46</v>
      </c>
    </row>
    <row r="396" spans="1:25" x14ac:dyDescent="0.3">
      <c r="A396" t="s">
        <v>425</v>
      </c>
      <c r="B396" t="s">
        <v>18</v>
      </c>
      <c r="C396">
        <f t="shared" si="48"/>
        <v>1</v>
      </c>
      <c r="D396" t="s">
        <v>25</v>
      </c>
      <c r="E396">
        <f t="shared" si="49"/>
        <v>1</v>
      </c>
      <c r="F396">
        <v>2</v>
      </c>
      <c r="G396" t="s">
        <v>20</v>
      </c>
      <c r="H396">
        <f t="shared" si="50"/>
        <v>1</v>
      </c>
      <c r="I396" t="s">
        <v>19</v>
      </c>
      <c r="J396">
        <f t="shared" si="51"/>
        <v>0</v>
      </c>
      <c r="K396">
        <v>3100</v>
      </c>
      <c r="L396">
        <v>1400</v>
      </c>
      <c r="M396">
        <v>113000</v>
      </c>
      <c r="N396">
        <v>360</v>
      </c>
      <c r="O396">
        <v>1</v>
      </c>
      <c r="P396" t="s">
        <v>21</v>
      </c>
      <c r="Q396">
        <f t="shared" si="52"/>
        <v>1</v>
      </c>
      <c r="R396">
        <f t="shared" si="53"/>
        <v>0</v>
      </c>
      <c r="S396">
        <f t="shared" si="54"/>
        <v>0</v>
      </c>
      <c r="T396" t="s">
        <v>22</v>
      </c>
      <c r="U396">
        <f t="shared" si="55"/>
        <v>1</v>
      </c>
      <c r="V396">
        <v>8.0394799191004491</v>
      </c>
      <c r="W396">
        <v>7.2449415463370066</v>
      </c>
      <c r="X396">
        <v>11.635143097694478</v>
      </c>
      <c r="Y396" t="s">
        <v>23</v>
      </c>
    </row>
    <row r="397" spans="1:25" x14ac:dyDescent="0.3">
      <c r="A397" t="s">
        <v>426</v>
      </c>
      <c r="B397" t="s">
        <v>18</v>
      </c>
      <c r="C397">
        <f t="shared" si="48"/>
        <v>1</v>
      </c>
      <c r="D397" t="s">
        <v>25</v>
      </c>
      <c r="E397">
        <f t="shared" si="49"/>
        <v>1</v>
      </c>
      <c r="F397">
        <v>2</v>
      </c>
      <c r="G397" t="s">
        <v>20</v>
      </c>
      <c r="H397">
        <f t="shared" si="50"/>
        <v>1</v>
      </c>
      <c r="I397" t="s">
        <v>19</v>
      </c>
      <c r="J397">
        <f t="shared" si="51"/>
        <v>0</v>
      </c>
      <c r="K397">
        <v>3276</v>
      </c>
      <c r="L397">
        <v>484</v>
      </c>
      <c r="M397">
        <v>135000</v>
      </c>
      <c r="N397">
        <v>360</v>
      </c>
      <c r="O397">
        <v>1</v>
      </c>
      <c r="P397" t="s">
        <v>35</v>
      </c>
      <c r="Q397">
        <f t="shared" si="52"/>
        <v>0</v>
      </c>
      <c r="R397">
        <f t="shared" si="53"/>
        <v>1</v>
      </c>
      <c r="S397">
        <f t="shared" si="54"/>
        <v>0</v>
      </c>
      <c r="T397" t="s">
        <v>22</v>
      </c>
      <c r="U397">
        <f t="shared" si="55"/>
        <v>1</v>
      </c>
      <c r="V397">
        <v>8.0946836486988154</v>
      </c>
      <c r="W397">
        <v>6.1841488909374833</v>
      </c>
      <c r="X397">
        <v>11.813030057420567</v>
      </c>
      <c r="Y397" t="s">
        <v>23</v>
      </c>
    </row>
    <row r="398" spans="1:25" x14ac:dyDescent="0.3">
      <c r="A398" t="s">
        <v>427</v>
      </c>
      <c r="B398" t="s">
        <v>48</v>
      </c>
      <c r="C398">
        <f t="shared" si="48"/>
        <v>0</v>
      </c>
      <c r="D398" t="s">
        <v>19</v>
      </c>
      <c r="E398">
        <f t="shared" si="49"/>
        <v>0</v>
      </c>
      <c r="F398">
        <v>0</v>
      </c>
      <c r="G398" t="s">
        <v>20</v>
      </c>
      <c r="H398">
        <f t="shared" si="50"/>
        <v>1</v>
      </c>
      <c r="I398" t="s">
        <v>19</v>
      </c>
      <c r="J398">
        <f t="shared" si="51"/>
        <v>0</v>
      </c>
      <c r="K398">
        <v>3180</v>
      </c>
      <c r="L398">
        <v>0</v>
      </c>
      <c r="M398">
        <v>71000</v>
      </c>
      <c r="N398">
        <v>360</v>
      </c>
      <c r="O398">
        <v>0</v>
      </c>
      <c r="P398" t="s">
        <v>21</v>
      </c>
      <c r="Q398">
        <f t="shared" si="52"/>
        <v>1</v>
      </c>
      <c r="R398">
        <f t="shared" si="53"/>
        <v>0</v>
      </c>
      <c r="S398">
        <f t="shared" si="54"/>
        <v>0</v>
      </c>
      <c r="T398" t="s">
        <v>27</v>
      </c>
      <c r="U398">
        <f t="shared" si="55"/>
        <v>0</v>
      </c>
      <c r="V398">
        <v>8.0649508917491435</v>
      </c>
      <c r="W398">
        <v>0</v>
      </c>
      <c r="X398">
        <v>11.170435156023453</v>
      </c>
      <c r="Y398" t="s">
        <v>23</v>
      </c>
    </row>
    <row r="399" spans="1:25" x14ac:dyDescent="0.3">
      <c r="A399" t="s">
        <v>428</v>
      </c>
      <c r="B399" t="s">
        <v>18</v>
      </c>
      <c r="C399">
        <f t="shared" si="48"/>
        <v>1</v>
      </c>
      <c r="D399" t="s">
        <v>25</v>
      </c>
      <c r="E399">
        <f t="shared" si="49"/>
        <v>1</v>
      </c>
      <c r="F399">
        <v>0</v>
      </c>
      <c r="G399" t="s">
        <v>20</v>
      </c>
      <c r="H399">
        <f t="shared" si="50"/>
        <v>1</v>
      </c>
      <c r="I399" t="s">
        <v>19</v>
      </c>
      <c r="J399">
        <f t="shared" si="51"/>
        <v>0</v>
      </c>
      <c r="K399">
        <v>3033</v>
      </c>
      <c r="L399">
        <v>1459</v>
      </c>
      <c r="M399">
        <v>95000</v>
      </c>
      <c r="N399">
        <v>360</v>
      </c>
      <c r="O399">
        <v>1</v>
      </c>
      <c r="P399" t="s">
        <v>21</v>
      </c>
      <c r="Q399">
        <f t="shared" si="52"/>
        <v>1</v>
      </c>
      <c r="R399">
        <f t="shared" si="53"/>
        <v>0</v>
      </c>
      <c r="S399">
        <f t="shared" si="54"/>
        <v>0</v>
      </c>
      <c r="T399" t="s">
        <v>22</v>
      </c>
      <c r="U399">
        <f t="shared" si="55"/>
        <v>1</v>
      </c>
      <c r="V399">
        <v>8.0176371599084781</v>
      </c>
      <c r="W399">
        <v>7.2861917147023822</v>
      </c>
      <c r="X399">
        <v>11.461632170582678</v>
      </c>
      <c r="Y399" t="s">
        <v>23</v>
      </c>
    </row>
    <row r="400" spans="1:25" x14ac:dyDescent="0.3">
      <c r="A400" t="s">
        <v>429</v>
      </c>
      <c r="B400" t="s">
        <v>18</v>
      </c>
      <c r="C400">
        <f t="shared" si="48"/>
        <v>1</v>
      </c>
      <c r="D400" t="s">
        <v>19</v>
      </c>
      <c r="E400">
        <f t="shared" si="49"/>
        <v>0</v>
      </c>
      <c r="F400">
        <v>0</v>
      </c>
      <c r="G400" t="s">
        <v>30</v>
      </c>
      <c r="H400">
        <f t="shared" si="50"/>
        <v>0</v>
      </c>
      <c r="I400" t="s">
        <v>19</v>
      </c>
      <c r="J400">
        <f t="shared" si="51"/>
        <v>0</v>
      </c>
      <c r="K400">
        <v>3902</v>
      </c>
      <c r="L400">
        <v>1666</v>
      </c>
      <c r="M400">
        <v>109000</v>
      </c>
      <c r="N400">
        <v>360</v>
      </c>
      <c r="O400">
        <v>1</v>
      </c>
      <c r="P400" t="s">
        <v>26</v>
      </c>
      <c r="Q400">
        <f t="shared" si="52"/>
        <v>0</v>
      </c>
      <c r="R400">
        <f t="shared" si="53"/>
        <v>0</v>
      </c>
      <c r="S400">
        <f t="shared" si="54"/>
        <v>1</v>
      </c>
      <c r="T400" t="s">
        <v>22</v>
      </c>
      <c r="U400">
        <f t="shared" si="55"/>
        <v>1</v>
      </c>
      <c r="V400">
        <v>8.2695007671806149</v>
      </c>
      <c r="W400">
        <v>7.4187808827507942</v>
      </c>
      <c r="X400">
        <v>11.59910316121128</v>
      </c>
      <c r="Y400" t="s">
        <v>23</v>
      </c>
    </row>
    <row r="401" spans="1:25" x14ac:dyDescent="0.3">
      <c r="A401" t="s">
        <v>430</v>
      </c>
      <c r="B401" t="s">
        <v>48</v>
      </c>
      <c r="C401">
        <f t="shared" si="48"/>
        <v>0</v>
      </c>
      <c r="D401" t="s">
        <v>19</v>
      </c>
      <c r="E401">
        <f t="shared" si="49"/>
        <v>0</v>
      </c>
      <c r="F401">
        <v>0</v>
      </c>
      <c r="G401" t="s">
        <v>20</v>
      </c>
      <c r="H401">
        <f t="shared" si="50"/>
        <v>1</v>
      </c>
      <c r="I401" t="s">
        <v>19</v>
      </c>
      <c r="J401">
        <f t="shared" si="51"/>
        <v>0</v>
      </c>
      <c r="K401">
        <v>1500</v>
      </c>
      <c r="L401">
        <v>1800</v>
      </c>
      <c r="M401">
        <v>103000</v>
      </c>
      <c r="N401">
        <v>360</v>
      </c>
      <c r="O401">
        <v>0</v>
      </c>
      <c r="P401" t="s">
        <v>35</v>
      </c>
      <c r="Q401">
        <f t="shared" si="52"/>
        <v>0</v>
      </c>
      <c r="R401">
        <f t="shared" si="53"/>
        <v>1</v>
      </c>
      <c r="S401">
        <f t="shared" si="54"/>
        <v>0</v>
      </c>
      <c r="T401" t="s">
        <v>27</v>
      </c>
      <c r="U401">
        <f t="shared" si="55"/>
        <v>0</v>
      </c>
      <c r="V401">
        <v>7.3138868316334618</v>
      </c>
      <c r="W401">
        <v>7.4960973451759561</v>
      </c>
      <c r="X401">
        <v>11.542484267211773</v>
      </c>
      <c r="Y401" t="s">
        <v>23</v>
      </c>
    </row>
    <row r="402" spans="1:25" x14ac:dyDescent="0.3">
      <c r="A402" t="s">
        <v>431</v>
      </c>
      <c r="B402" t="s">
        <v>18</v>
      </c>
      <c r="C402">
        <f t="shared" si="48"/>
        <v>1</v>
      </c>
      <c r="D402" t="s">
        <v>25</v>
      </c>
      <c r="E402">
        <f t="shared" si="49"/>
        <v>1</v>
      </c>
      <c r="F402">
        <v>2</v>
      </c>
      <c r="G402" t="s">
        <v>30</v>
      </c>
      <c r="H402">
        <f t="shared" si="50"/>
        <v>0</v>
      </c>
      <c r="I402" t="s">
        <v>19</v>
      </c>
      <c r="J402">
        <f t="shared" si="51"/>
        <v>0</v>
      </c>
      <c r="K402">
        <v>2889</v>
      </c>
      <c r="L402">
        <v>0</v>
      </c>
      <c r="M402">
        <v>45000</v>
      </c>
      <c r="N402">
        <v>180</v>
      </c>
      <c r="O402">
        <v>0</v>
      </c>
      <c r="P402" t="s">
        <v>21</v>
      </c>
      <c r="Q402">
        <f t="shared" si="52"/>
        <v>1</v>
      </c>
      <c r="R402">
        <f t="shared" si="53"/>
        <v>0</v>
      </c>
      <c r="S402">
        <f t="shared" si="54"/>
        <v>0</v>
      </c>
      <c r="T402" t="s">
        <v>27</v>
      </c>
      <c r="U402">
        <f t="shared" si="55"/>
        <v>0</v>
      </c>
      <c r="V402">
        <v>7.9690117811064782</v>
      </c>
      <c r="W402">
        <v>0</v>
      </c>
      <c r="X402">
        <v>10.714417768752456</v>
      </c>
      <c r="Y402" t="s">
        <v>46</v>
      </c>
    </row>
    <row r="403" spans="1:25" x14ac:dyDescent="0.3">
      <c r="A403" t="s">
        <v>432</v>
      </c>
      <c r="B403" t="s">
        <v>18</v>
      </c>
      <c r="C403">
        <f t="shared" si="48"/>
        <v>1</v>
      </c>
      <c r="D403" t="s">
        <v>19</v>
      </c>
      <c r="E403">
        <f t="shared" si="49"/>
        <v>0</v>
      </c>
      <c r="F403">
        <v>0</v>
      </c>
      <c r="G403" t="s">
        <v>30</v>
      </c>
      <c r="H403">
        <f t="shared" si="50"/>
        <v>0</v>
      </c>
      <c r="I403" t="s">
        <v>19</v>
      </c>
      <c r="J403">
        <f t="shared" si="51"/>
        <v>0</v>
      </c>
      <c r="K403">
        <v>2755</v>
      </c>
      <c r="L403">
        <v>0</v>
      </c>
      <c r="M403">
        <v>65000</v>
      </c>
      <c r="N403">
        <v>300</v>
      </c>
      <c r="O403">
        <v>1</v>
      </c>
      <c r="P403" t="s">
        <v>26</v>
      </c>
      <c r="Q403">
        <f t="shared" si="52"/>
        <v>0</v>
      </c>
      <c r="R403">
        <f t="shared" si="53"/>
        <v>0</v>
      </c>
      <c r="S403">
        <f t="shared" si="54"/>
        <v>1</v>
      </c>
      <c r="T403" t="s">
        <v>27</v>
      </c>
      <c r="U403">
        <f t="shared" si="55"/>
        <v>0</v>
      </c>
      <c r="V403">
        <v>7.9215356321335486</v>
      </c>
      <c r="W403">
        <v>0</v>
      </c>
      <c r="X403">
        <v>11.082142548877775</v>
      </c>
      <c r="Y403" t="s">
        <v>46</v>
      </c>
    </row>
    <row r="404" spans="1:25" x14ac:dyDescent="0.3">
      <c r="A404" t="s">
        <v>433</v>
      </c>
      <c r="B404" t="s">
        <v>18</v>
      </c>
      <c r="C404">
        <f t="shared" si="48"/>
        <v>1</v>
      </c>
      <c r="D404" t="s">
        <v>19</v>
      </c>
      <c r="E404">
        <f t="shared" si="49"/>
        <v>0</v>
      </c>
      <c r="F404">
        <v>0</v>
      </c>
      <c r="G404" t="s">
        <v>20</v>
      </c>
      <c r="H404">
        <f t="shared" si="50"/>
        <v>1</v>
      </c>
      <c r="I404" t="s">
        <v>19</v>
      </c>
      <c r="J404">
        <f t="shared" si="51"/>
        <v>0</v>
      </c>
      <c r="K404">
        <v>2500</v>
      </c>
      <c r="L404">
        <v>20000</v>
      </c>
      <c r="M404">
        <v>103000</v>
      </c>
      <c r="N404">
        <v>360</v>
      </c>
      <c r="O404">
        <v>1</v>
      </c>
      <c r="P404" t="s">
        <v>35</v>
      </c>
      <c r="Q404">
        <f t="shared" si="52"/>
        <v>0</v>
      </c>
      <c r="R404">
        <f t="shared" si="53"/>
        <v>1</v>
      </c>
      <c r="S404">
        <f t="shared" si="54"/>
        <v>0</v>
      </c>
      <c r="T404" t="s">
        <v>22</v>
      </c>
      <c r="U404">
        <f t="shared" si="55"/>
        <v>1</v>
      </c>
      <c r="V404">
        <v>7.8244459308776193</v>
      </c>
      <c r="W404">
        <v>9.9035375512861705</v>
      </c>
      <c r="X404">
        <v>11.542484267211773</v>
      </c>
      <c r="Y404" t="s">
        <v>23</v>
      </c>
    </row>
    <row r="405" spans="1:25" x14ac:dyDescent="0.3">
      <c r="A405" t="s">
        <v>434</v>
      </c>
      <c r="B405" t="s">
        <v>48</v>
      </c>
      <c r="C405">
        <f t="shared" si="48"/>
        <v>0</v>
      </c>
      <c r="D405" t="s">
        <v>19</v>
      </c>
      <c r="E405">
        <f t="shared" si="49"/>
        <v>0</v>
      </c>
      <c r="F405">
        <v>0</v>
      </c>
      <c r="G405" t="s">
        <v>30</v>
      </c>
      <c r="H405">
        <f t="shared" si="50"/>
        <v>0</v>
      </c>
      <c r="I405" t="s">
        <v>19</v>
      </c>
      <c r="J405">
        <f t="shared" si="51"/>
        <v>0</v>
      </c>
      <c r="K405">
        <v>1963</v>
      </c>
      <c r="L405">
        <v>0</v>
      </c>
      <c r="M405">
        <v>53000</v>
      </c>
      <c r="N405">
        <v>360</v>
      </c>
      <c r="O405">
        <v>1</v>
      </c>
      <c r="P405" t="s">
        <v>35</v>
      </c>
      <c r="Q405">
        <f t="shared" si="52"/>
        <v>0</v>
      </c>
      <c r="R405">
        <f t="shared" si="53"/>
        <v>1</v>
      </c>
      <c r="S405">
        <f t="shared" si="54"/>
        <v>0</v>
      </c>
      <c r="T405" t="s">
        <v>22</v>
      </c>
      <c r="U405">
        <f t="shared" si="55"/>
        <v>1</v>
      </c>
      <c r="V405">
        <v>7.5827384889144112</v>
      </c>
      <c r="W405">
        <v>0</v>
      </c>
      <c r="X405">
        <v>10.878047192534259</v>
      </c>
      <c r="Y405" t="s">
        <v>23</v>
      </c>
    </row>
    <row r="406" spans="1:25" x14ac:dyDescent="0.3">
      <c r="A406" t="s">
        <v>435</v>
      </c>
      <c r="B406" t="s">
        <v>48</v>
      </c>
      <c r="C406">
        <f t="shared" si="48"/>
        <v>0</v>
      </c>
      <c r="D406" t="s">
        <v>19</v>
      </c>
      <c r="E406">
        <f t="shared" si="49"/>
        <v>0</v>
      </c>
      <c r="F406">
        <v>0</v>
      </c>
      <c r="G406" t="s">
        <v>20</v>
      </c>
      <c r="H406">
        <f t="shared" si="50"/>
        <v>1</v>
      </c>
      <c r="I406" t="s">
        <v>25</v>
      </c>
      <c r="J406">
        <f t="shared" si="51"/>
        <v>1</v>
      </c>
      <c r="K406">
        <v>7441</v>
      </c>
      <c r="L406">
        <v>0</v>
      </c>
      <c r="M406">
        <v>194000</v>
      </c>
      <c r="N406">
        <v>360</v>
      </c>
      <c r="O406">
        <v>1</v>
      </c>
      <c r="P406" t="s">
        <v>26</v>
      </c>
      <c r="Q406">
        <f t="shared" si="52"/>
        <v>0</v>
      </c>
      <c r="R406">
        <f t="shared" si="53"/>
        <v>0</v>
      </c>
      <c r="S406">
        <f t="shared" si="54"/>
        <v>1</v>
      </c>
      <c r="T406" t="s">
        <v>27</v>
      </c>
      <c r="U406">
        <f t="shared" si="55"/>
        <v>0</v>
      </c>
      <c r="V406">
        <v>8.9148949089065681</v>
      </c>
      <c r="W406">
        <v>0</v>
      </c>
      <c r="X406">
        <v>12.175613438045465</v>
      </c>
      <c r="Y406" t="s">
        <v>23</v>
      </c>
    </row>
    <row r="407" spans="1:25" x14ac:dyDescent="0.3">
      <c r="A407" t="s">
        <v>436</v>
      </c>
      <c r="B407" t="s">
        <v>48</v>
      </c>
      <c r="C407">
        <f t="shared" si="48"/>
        <v>0</v>
      </c>
      <c r="D407" t="s">
        <v>19</v>
      </c>
      <c r="E407">
        <f t="shared" si="49"/>
        <v>0</v>
      </c>
      <c r="F407">
        <v>0</v>
      </c>
      <c r="G407" t="s">
        <v>20</v>
      </c>
      <c r="H407">
        <f t="shared" si="50"/>
        <v>1</v>
      </c>
      <c r="I407" t="s">
        <v>19</v>
      </c>
      <c r="J407">
        <f t="shared" si="51"/>
        <v>0</v>
      </c>
      <c r="K407">
        <v>4547</v>
      </c>
      <c r="L407">
        <v>0</v>
      </c>
      <c r="M407">
        <v>115000</v>
      </c>
      <c r="N407">
        <v>360</v>
      </c>
      <c r="O407">
        <v>1</v>
      </c>
      <c r="P407" t="s">
        <v>35</v>
      </c>
      <c r="Q407">
        <f t="shared" si="52"/>
        <v>0</v>
      </c>
      <c r="R407">
        <f t="shared" si="53"/>
        <v>1</v>
      </c>
      <c r="S407">
        <f t="shared" si="54"/>
        <v>0</v>
      </c>
      <c r="T407" t="s">
        <v>22</v>
      </c>
      <c r="U407">
        <f t="shared" si="55"/>
        <v>1</v>
      </c>
      <c r="V407">
        <v>8.4224428548704271</v>
      </c>
      <c r="W407">
        <v>0</v>
      </c>
      <c r="X407">
        <v>11.652687407345388</v>
      </c>
      <c r="Y407" t="s">
        <v>23</v>
      </c>
    </row>
    <row r="408" spans="1:25" x14ac:dyDescent="0.3">
      <c r="A408" t="s">
        <v>437</v>
      </c>
      <c r="B408" t="s">
        <v>18</v>
      </c>
      <c r="C408">
        <f t="shared" si="48"/>
        <v>1</v>
      </c>
      <c r="D408" t="s">
        <v>25</v>
      </c>
      <c r="E408">
        <f t="shared" si="49"/>
        <v>1</v>
      </c>
      <c r="F408">
        <v>0</v>
      </c>
      <c r="G408" t="s">
        <v>30</v>
      </c>
      <c r="H408">
        <f t="shared" si="50"/>
        <v>0</v>
      </c>
      <c r="I408" t="s">
        <v>19</v>
      </c>
      <c r="J408">
        <f t="shared" si="51"/>
        <v>0</v>
      </c>
      <c r="K408">
        <v>2167</v>
      </c>
      <c r="L408">
        <v>2400</v>
      </c>
      <c r="M408">
        <v>115000</v>
      </c>
      <c r="N408">
        <v>360</v>
      </c>
      <c r="O408">
        <v>1</v>
      </c>
      <c r="P408" t="s">
        <v>21</v>
      </c>
      <c r="Q408">
        <f t="shared" si="52"/>
        <v>1</v>
      </c>
      <c r="R408">
        <f t="shared" si="53"/>
        <v>0</v>
      </c>
      <c r="S408">
        <f t="shared" si="54"/>
        <v>0</v>
      </c>
      <c r="T408" t="s">
        <v>22</v>
      </c>
      <c r="U408">
        <f t="shared" si="55"/>
        <v>1</v>
      </c>
      <c r="V408">
        <v>7.6815603625595372</v>
      </c>
      <c r="W408">
        <v>7.7836405962212529</v>
      </c>
      <c r="X408">
        <v>11.652687407345388</v>
      </c>
      <c r="Y408" t="s">
        <v>23</v>
      </c>
    </row>
    <row r="409" spans="1:25" x14ac:dyDescent="0.3">
      <c r="A409" t="s">
        <v>438</v>
      </c>
      <c r="B409" t="s">
        <v>48</v>
      </c>
      <c r="C409">
        <f t="shared" si="48"/>
        <v>0</v>
      </c>
      <c r="D409" t="s">
        <v>19</v>
      </c>
      <c r="E409">
        <f t="shared" si="49"/>
        <v>0</v>
      </c>
      <c r="F409">
        <v>0</v>
      </c>
      <c r="G409" t="s">
        <v>30</v>
      </c>
      <c r="H409">
        <f t="shared" si="50"/>
        <v>0</v>
      </c>
      <c r="I409" t="s">
        <v>19</v>
      </c>
      <c r="J409">
        <f t="shared" si="51"/>
        <v>0</v>
      </c>
      <c r="K409">
        <v>2213</v>
      </c>
      <c r="L409">
        <v>0</v>
      </c>
      <c r="M409">
        <v>66000</v>
      </c>
      <c r="N409">
        <v>360</v>
      </c>
      <c r="O409">
        <v>1</v>
      </c>
      <c r="P409" t="s">
        <v>26</v>
      </c>
      <c r="Q409">
        <f t="shared" si="52"/>
        <v>0</v>
      </c>
      <c r="R409">
        <f t="shared" si="53"/>
        <v>0</v>
      </c>
      <c r="S409">
        <f t="shared" si="54"/>
        <v>1</v>
      </c>
      <c r="T409" t="s">
        <v>22</v>
      </c>
      <c r="U409">
        <f t="shared" si="55"/>
        <v>1</v>
      </c>
      <c r="V409">
        <v>7.7025561132685816</v>
      </c>
      <c r="W409">
        <v>0</v>
      </c>
      <c r="X409">
        <v>11.097410021008562</v>
      </c>
      <c r="Y409" t="s">
        <v>23</v>
      </c>
    </row>
    <row r="410" spans="1:25" x14ac:dyDescent="0.3">
      <c r="A410" t="s">
        <v>439</v>
      </c>
      <c r="B410" t="s">
        <v>18</v>
      </c>
      <c r="C410">
        <f t="shared" si="48"/>
        <v>1</v>
      </c>
      <c r="D410" t="s">
        <v>25</v>
      </c>
      <c r="E410">
        <f t="shared" si="49"/>
        <v>1</v>
      </c>
      <c r="F410">
        <v>1</v>
      </c>
      <c r="G410" t="s">
        <v>20</v>
      </c>
      <c r="H410">
        <f t="shared" si="50"/>
        <v>1</v>
      </c>
      <c r="I410" t="s">
        <v>19</v>
      </c>
      <c r="J410">
        <f t="shared" si="51"/>
        <v>0</v>
      </c>
      <c r="K410">
        <v>8300</v>
      </c>
      <c r="L410">
        <v>0</v>
      </c>
      <c r="M410">
        <v>152000</v>
      </c>
      <c r="N410">
        <v>300</v>
      </c>
      <c r="O410">
        <v>0</v>
      </c>
      <c r="P410" t="s">
        <v>35</v>
      </c>
      <c r="Q410">
        <f t="shared" si="52"/>
        <v>0</v>
      </c>
      <c r="R410">
        <f t="shared" si="53"/>
        <v>1</v>
      </c>
      <c r="S410">
        <f t="shared" si="54"/>
        <v>0</v>
      </c>
      <c r="T410" t="s">
        <v>27</v>
      </c>
      <c r="U410">
        <f t="shared" si="55"/>
        <v>0</v>
      </c>
      <c r="V410">
        <v>9.0241312684550348</v>
      </c>
      <c r="W410">
        <v>0</v>
      </c>
      <c r="X410">
        <v>11.931635799828413</v>
      </c>
      <c r="Y410" t="s">
        <v>46</v>
      </c>
    </row>
    <row r="411" spans="1:25" x14ac:dyDescent="0.3">
      <c r="A411" t="s">
        <v>440</v>
      </c>
      <c r="B411" t="s">
        <v>18</v>
      </c>
      <c r="C411">
        <f t="shared" si="48"/>
        <v>1</v>
      </c>
      <c r="D411" t="s">
        <v>25</v>
      </c>
      <c r="E411">
        <f t="shared" si="49"/>
        <v>1</v>
      </c>
      <c r="F411">
        <v>3</v>
      </c>
      <c r="G411" t="s">
        <v>20</v>
      </c>
      <c r="H411">
        <f t="shared" si="50"/>
        <v>1</v>
      </c>
      <c r="I411" t="s">
        <v>19</v>
      </c>
      <c r="J411">
        <f t="shared" si="51"/>
        <v>0</v>
      </c>
      <c r="K411">
        <v>81000</v>
      </c>
      <c r="L411">
        <v>0</v>
      </c>
      <c r="M411">
        <v>360000</v>
      </c>
      <c r="N411">
        <v>360</v>
      </c>
      <c r="O411">
        <v>0</v>
      </c>
      <c r="P411" t="s">
        <v>26</v>
      </c>
      <c r="Q411">
        <f t="shared" si="52"/>
        <v>0</v>
      </c>
      <c r="R411">
        <f t="shared" si="53"/>
        <v>0</v>
      </c>
      <c r="S411">
        <f t="shared" si="54"/>
        <v>1</v>
      </c>
      <c r="T411" t="s">
        <v>27</v>
      </c>
      <c r="U411">
        <f t="shared" si="55"/>
        <v>0</v>
      </c>
      <c r="V411">
        <v>11.30221677925738</v>
      </c>
      <c r="W411">
        <v>0</v>
      </c>
      <c r="X411">
        <v>12.793859310432293</v>
      </c>
      <c r="Y411" t="s">
        <v>23</v>
      </c>
    </row>
    <row r="412" spans="1:25" x14ac:dyDescent="0.3">
      <c r="A412" t="s">
        <v>441</v>
      </c>
      <c r="B412" t="s">
        <v>48</v>
      </c>
      <c r="C412">
        <f t="shared" si="48"/>
        <v>0</v>
      </c>
      <c r="D412" t="s">
        <v>19</v>
      </c>
      <c r="E412">
        <f t="shared" si="49"/>
        <v>0</v>
      </c>
      <c r="F412">
        <v>1</v>
      </c>
      <c r="G412" t="s">
        <v>30</v>
      </c>
      <c r="H412">
        <f t="shared" si="50"/>
        <v>0</v>
      </c>
      <c r="I412" t="s">
        <v>25</v>
      </c>
      <c r="J412">
        <f t="shared" si="51"/>
        <v>1</v>
      </c>
      <c r="K412">
        <v>3867</v>
      </c>
      <c r="L412">
        <v>0</v>
      </c>
      <c r="M412">
        <v>62000</v>
      </c>
      <c r="N412">
        <v>360</v>
      </c>
      <c r="O412">
        <v>1</v>
      </c>
      <c r="P412" t="s">
        <v>35</v>
      </c>
      <c r="Q412">
        <f t="shared" si="52"/>
        <v>0</v>
      </c>
      <c r="R412">
        <f t="shared" si="53"/>
        <v>1</v>
      </c>
      <c r="S412">
        <f t="shared" si="54"/>
        <v>0</v>
      </c>
      <c r="T412" t="s">
        <v>27</v>
      </c>
      <c r="U412">
        <f t="shared" si="55"/>
        <v>0</v>
      </c>
      <c r="V412">
        <v>8.260492856573185</v>
      </c>
      <c r="W412">
        <v>0</v>
      </c>
      <c r="X412">
        <v>11.034889664027229</v>
      </c>
      <c r="Y412" t="s">
        <v>23</v>
      </c>
    </row>
    <row r="413" spans="1:25" x14ac:dyDescent="0.3">
      <c r="A413" t="s">
        <v>442</v>
      </c>
      <c r="B413" t="s">
        <v>18</v>
      </c>
      <c r="C413">
        <f t="shared" si="48"/>
        <v>1</v>
      </c>
      <c r="D413" t="s">
        <v>25</v>
      </c>
      <c r="E413">
        <f t="shared" si="49"/>
        <v>1</v>
      </c>
      <c r="F413">
        <v>0</v>
      </c>
      <c r="G413" t="s">
        <v>20</v>
      </c>
      <c r="H413">
        <f t="shared" si="50"/>
        <v>1</v>
      </c>
      <c r="I413" t="s">
        <v>19</v>
      </c>
      <c r="J413">
        <f t="shared" si="51"/>
        <v>0</v>
      </c>
      <c r="K413">
        <v>6256</v>
      </c>
      <c r="L413">
        <v>0</v>
      </c>
      <c r="M413">
        <v>160000</v>
      </c>
      <c r="N413">
        <v>360</v>
      </c>
      <c r="O413">
        <v>1</v>
      </c>
      <c r="P413" t="s">
        <v>21</v>
      </c>
      <c r="Q413">
        <f t="shared" si="52"/>
        <v>1</v>
      </c>
      <c r="R413">
        <f t="shared" si="53"/>
        <v>0</v>
      </c>
      <c r="S413">
        <f t="shared" si="54"/>
        <v>0</v>
      </c>
      <c r="T413" t="s">
        <v>22</v>
      </c>
      <c r="U413">
        <f t="shared" si="55"/>
        <v>1</v>
      </c>
      <c r="V413">
        <v>8.7414561159983641</v>
      </c>
      <c r="W413">
        <v>0</v>
      </c>
      <c r="X413">
        <v>11.982929094215963</v>
      </c>
      <c r="Y413" t="s">
        <v>23</v>
      </c>
    </row>
    <row r="414" spans="1:25" x14ac:dyDescent="0.3">
      <c r="A414" t="s">
        <v>443</v>
      </c>
      <c r="B414" t="s">
        <v>18</v>
      </c>
      <c r="C414">
        <f t="shared" si="48"/>
        <v>1</v>
      </c>
      <c r="D414" t="s">
        <v>25</v>
      </c>
      <c r="E414">
        <f t="shared" si="49"/>
        <v>1</v>
      </c>
      <c r="F414">
        <v>0</v>
      </c>
      <c r="G414" t="s">
        <v>30</v>
      </c>
      <c r="H414">
        <f t="shared" si="50"/>
        <v>0</v>
      </c>
      <c r="I414" t="s">
        <v>19</v>
      </c>
      <c r="J414">
        <f t="shared" si="51"/>
        <v>0</v>
      </c>
      <c r="K414">
        <v>6096</v>
      </c>
      <c r="L414">
        <v>0</v>
      </c>
      <c r="M414">
        <v>218000</v>
      </c>
      <c r="N414">
        <v>360</v>
      </c>
      <c r="O414">
        <v>0</v>
      </c>
      <c r="P414" t="s">
        <v>26</v>
      </c>
      <c r="Q414">
        <f t="shared" si="52"/>
        <v>0</v>
      </c>
      <c r="R414">
        <f t="shared" si="53"/>
        <v>0</v>
      </c>
      <c r="S414">
        <f t="shared" si="54"/>
        <v>1</v>
      </c>
      <c r="T414" t="s">
        <v>27</v>
      </c>
      <c r="U414">
        <f t="shared" si="55"/>
        <v>0</v>
      </c>
      <c r="V414">
        <v>8.7155521259078164</v>
      </c>
      <c r="W414">
        <v>0</v>
      </c>
      <c r="X414">
        <v>12.292250341771226</v>
      </c>
      <c r="Y414" t="s">
        <v>23</v>
      </c>
    </row>
    <row r="415" spans="1:25" x14ac:dyDescent="0.3">
      <c r="A415" t="s">
        <v>444</v>
      </c>
      <c r="B415" t="s">
        <v>18</v>
      </c>
      <c r="C415">
        <f t="shared" si="48"/>
        <v>1</v>
      </c>
      <c r="D415" t="s">
        <v>25</v>
      </c>
      <c r="E415">
        <f t="shared" si="49"/>
        <v>1</v>
      </c>
      <c r="F415">
        <v>0</v>
      </c>
      <c r="G415" t="s">
        <v>30</v>
      </c>
      <c r="H415">
        <f t="shared" si="50"/>
        <v>0</v>
      </c>
      <c r="I415" t="s">
        <v>19</v>
      </c>
      <c r="J415">
        <f t="shared" si="51"/>
        <v>0</v>
      </c>
      <c r="K415">
        <v>2253</v>
      </c>
      <c r="L415">
        <v>2033</v>
      </c>
      <c r="M415">
        <v>110000</v>
      </c>
      <c r="N415">
        <v>360</v>
      </c>
      <c r="O415">
        <v>1</v>
      </c>
      <c r="P415" t="s">
        <v>26</v>
      </c>
      <c r="Q415">
        <f t="shared" si="52"/>
        <v>0</v>
      </c>
      <c r="R415">
        <f t="shared" si="53"/>
        <v>0</v>
      </c>
      <c r="S415">
        <f t="shared" si="54"/>
        <v>1</v>
      </c>
      <c r="T415" t="s">
        <v>22</v>
      </c>
      <c r="U415">
        <f t="shared" si="55"/>
        <v>1</v>
      </c>
      <c r="V415">
        <v>7.720461694599722</v>
      </c>
      <c r="W415">
        <v>7.6177595766085053</v>
      </c>
      <c r="X415">
        <v>11.608235644774552</v>
      </c>
      <c r="Y415" t="s">
        <v>23</v>
      </c>
    </row>
    <row r="416" spans="1:25" x14ac:dyDescent="0.3">
      <c r="A416" t="s">
        <v>445</v>
      </c>
      <c r="B416" t="s">
        <v>48</v>
      </c>
      <c r="C416">
        <f t="shared" si="48"/>
        <v>0</v>
      </c>
      <c r="D416" t="s">
        <v>25</v>
      </c>
      <c r="E416">
        <f t="shared" si="49"/>
        <v>1</v>
      </c>
      <c r="F416">
        <v>0</v>
      </c>
      <c r="G416" t="s">
        <v>30</v>
      </c>
      <c r="H416">
        <f t="shared" si="50"/>
        <v>0</v>
      </c>
      <c r="I416" t="s">
        <v>19</v>
      </c>
      <c r="J416">
        <f t="shared" si="51"/>
        <v>0</v>
      </c>
      <c r="K416">
        <v>2149</v>
      </c>
      <c r="L416">
        <v>3237</v>
      </c>
      <c r="M416">
        <v>178000</v>
      </c>
      <c r="N416">
        <v>360</v>
      </c>
      <c r="O416">
        <v>0</v>
      </c>
      <c r="P416" t="s">
        <v>35</v>
      </c>
      <c r="Q416">
        <f t="shared" si="52"/>
        <v>0</v>
      </c>
      <c r="R416">
        <f t="shared" si="53"/>
        <v>1</v>
      </c>
      <c r="S416">
        <f t="shared" si="54"/>
        <v>0</v>
      </c>
      <c r="T416" t="s">
        <v>27</v>
      </c>
      <c r="U416">
        <f t="shared" si="55"/>
        <v>0</v>
      </c>
      <c r="V416">
        <v>7.6732231211217083</v>
      </c>
      <c r="W416">
        <v>8.0827111342375808</v>
      </c>
      <c r="X416">
        <v>12.089538829274222</v>
      </c>
      <c r="Y416" t="s">
        <v>23</v>
      </c>
    </row>
    <row r="417" spans="1:25" x14ac:dyDescent="0.3">
      <c r="A417" t="s">
        <v>446</v>
      </c>
      <c r="B417" t="s">
        <v>48</v>
      </c>
      <c r="C417">
        <f t="shared" si="48"/>
        <v>0</v>
      </c>
      <c r="D417" t="s">
        <v>19</v>
      </c>
      <c r="E417">
        <f t="shared" si="49"/>
        <v>0</v>
      </c>
      <c r="F417">
        <v>0</v>
      </c>
      <c r="G417" t="s">
        <v>20</v>
      </c>
      <c r="H417">
        <f t="shared" si="50"/>
        <v>1</v>
      </c>
      <c r="I417" t="s">
        <v>19</v>
      </c>
      <c r="J417">
        <f t="shared" si="51"/>
        <v>0</v>
      </c>
      <c r="K417">
        <v>2995</v>
      </c>
      <c r="L417">
        <v>0</v>
      </c>
      <c r="M417">
        <v>60000</v>
      </c>
      <c r="N417">
        <v>360</v>
      </c>
      <c r="O417">
        <v>1</v>
      </c>
      <c r="P417" t="s">
        <v>21</v>
      </c>
      <c r="Q417">
        <f t="shared" si="52"/>
        <v>1</v>
      </c>
      <c r="R417">
        <f t="shared" si="53"/>
        <v>0</v>
      </c>
      <c r="S417">
        <f t="shared" si="54"/>
        <v>0</v>
      </c>
      <c r="T417" t="s">
        <v>22</v>
      </c>
      <c r="U417">
        <f t="shared" si="55"/>
        <v>1</v>
      </c>
      <c r="V417">
        <v>8.0050333446371109</v>
      </c>
      <c r="W417">
        <v>0</v>
      </c>
      <c r="X417">
        <v>11.002099841204238</v>
      </c>
      <c r="Y417" t="s">
        <v>23</v>
      </c>
    </row>
    <row r="418" spans="1:25" x14ac:dyDescent="0.3">
      <c r="A418" t="s">
        <v>447</v>
      </c>
      <c r="B418" t="s">
        <v>48</v>
      </c>
      <c r="C418">
        <f t="shared" si="48"/>
        <v>0</v>
      </c>
      <c r="D418" t="s">
        <v>19</v>
      </c>
      <c r="E418">
        <f t="shared" si="49"/>
        <v>0</v>
      </c>
      <c r="F418">
        <v>1</v>
      </c>
      <c r="G418" t="s">
        <v>20</v>
      </c>
      <c r="H418">
        <f t="shared" si="50"/>
        <v>1</v>
      </c>
      <c r="I418" t="s">
        <v>19</v>
      </c>
      <c r="J418">
        <f t="shared" si="51"/>
        <v>0</v>
      </c>
      <c r="K418">
        <v>2600</v>
      </c>
      <c r="L418">
        <v>0</v>
      </c>
      <c r="M418">
        <v>160000</v>
      </c>
      <c r="N418">
        <v>360</v>
      </c>
      <c r="O418">
        <v>1</v>
      </c>
      <c r="P418" t="s">
        <v>21</v>
      </c>
      <c r="Q418">
        <f t="shared" si="52"/>
        <v>1</v>
      </c>
      <c r="R418">
        <f t="shared" si="53"/>
        <v>0</v>
      </c>
      <c r="S418">
        <f t="shared" si="54"/>
        <v>0</v>
      </c>
      <c r="T418" t="s">
        <v>27</v>
      </c>
      <c r="U418">
        <f t="shared" si="55"/>
        <v>0</v>
      </c>
      <c r="V418">
        <v>7.8636512654486506</v>
      </c>
      <c r="W418">
        <v>0</v>
      </c>
      <c r="X418">
        <v>11.982929094215963</v>
      </c>
      <c r="Y418" t="s">
        <v>23</v>
      </c>
    </row>
    <row r="419" spans="1:25" x14ac:dyDescent="0.3">
      <c r="A419" t="s">
        <v>448</v>
      </c>
      <c r="B419" t="s">
        <v>18</v>
      </c>
      <c r="C419">
        <f t="shared" si="48"/>
        <v>1</v>
      </c>
      <c r="D419" t="s">
        <v>25</v>
      </c>
      <c r="E419">
        <f t="shared" si="49"/>
        <v>1</v>
      </c>
      <c r="F419">
        <v>2</v>
      </c>
      <c r="G419" t="s">
        <v>20</v>
      </c>
      <c r="H419">
        <f t="shared" si="50"/>
        <v>1</v>
      </c>
      <c r="I419" t="s">
        <v>25</v>
      </c>
      <c r="J419">
        <f t="shared" si="51"/>
        <v>1</v>
      </c>
      <c r="K419">
        <v>1600</v>
      </c>
      <c r="L419">
        <v>20000</v>
      </c>
      <c r="M419">
        <v>239000</v>
      </c>
      <c r="N419">
        <v>360</v>
      </c>
      <c r="O419">
        <v>1</v>
      </c>
      <c r="P419" t="s">
        <v>21</v>
      </c>
      <c r="Q419">
        <f t="shared" si="52"/>
        <v>1</v>
      </c>
      <c r="R419">
        <f t="shared" si="53"/>
        <v>0</v>
      </c>
      <c r="S419">
        <f t="shared" si="54"/>
        <v>0</v>
      </c>
      <c r="T419" t="s">
        <v>27</v>
      </c>
      <c r="U419">
        <f t="shared" si="55"/>
        <v>0</v>
      </c>
      <c r="V419">
        <v>7.3783837129967136</v>
      </c>
      <c r="W419">
        <v>9.9035375512861705</v>
      </c>
      <c r="X419">
        <v>12.384218830913648</v>
      </c>
      <c r="Y419" t="s">
        <v>23</v>
      </c>
    </row>
    <row r="420" spans="1:25" x14ac:dyDescent="0.3">
      <c r="A420" t="s">
        <v>449</v>
      </c>
      <c r="B420" t="s">
        <v>18</v>
      </c>
      <c r="C420">
        <f t="shared" si="48"/>
        <v>1</v>
      </c>
      <c r="D420" t="s">
        <v>25</v>
      </c>
      <c r="E420">
        <f t="shared" si="49"/>
        <v>1</v>
      </c>
      <c r="F420">
        <v>0</v>
      </c>
      <c r="G420" t="s">
        <v>20</v>
      </c>
      <c r="H420">
        <f t="shared" si="50"/>
        <v>1</v>
      </c>
      <c r="I420" t="s">
        <v>19</v>
      </c>
      <c r="J420">
        <f t="shared" si="51"/>
        <v>0</v>
      </c>
      <c r="K420">
        <v>1025</v>
      </c>
      <c r="L420">
        <v>2773</v>
      </c>
      <c r="M420">
        <v>112000</v>
      </c>
      <c r="N420">
        <v>360</v>
      </c>
      <c r="O420">
        <v>1</v>
      </c>
      <c r="P420" t="s">
        <v>26</v>
      </c>
      <c r="Q420">
        <f t="shared" si="52"/>
        <v>0</v>
      </c>
      <c r="R420">
        <f t="shared" si="53"/>
        <v>0</v>
      </c>
      <c r="S420">
        <f t="shared" si="54"/>
        <v>1</v>
      </c>
      <c r="T420" t="s">
        <v>22</v>
      </c>
      <c r="U420">
        <f t="shared" si="55"/>
        <v>1</v>
      </c>
      <c r="V420">
        <v>6.9334230257307148</v>
      </c>
      <c r="W420">
        <v>7.9280456008747766</v>
      </c>
      <c r="X420">
        <v>11.626254150277232</v>
      </c>
      <c r="Y420" t="s">
        <v>23</v>
      </c>
    </row>
    <row r="421" spans="1:25" x14ac:dyDescent="0.3">
      <c r="A421" t="s">
        <v>450</v>
      </c>
      <c r="B421" t="s">
        <v>18</v>
      </c>
      <c r="C421">
        <f t="shared" si="48"/>
        <v>1</v>
      </c>
      <c r="D421" t="s">
        <v>25</v>
      </c>
      <c r="E421">
        <f t="shared" si="49"/>
        <v>1</v>
      </c>
      <c r="F421">
        <v>0</v>
      </c>
      <c r="G421" t="s">
        <v>20</v>
      </c>
      <c r="H421">
        <f t="shared" si="50"/>
        <v>1</v>
      </c>
      <c r="I421" t="s">
        <v>19</v>
      </c>
      <c r="J421">
        <f t="shared" si="51"/>
        <v>0</v>
      </c>
      <c r="K421">
        <v>3246</v>
      </c>
      <c r="L421">
        <v>1417</v>
      </c>
      <c r="M421">
        <v>138000</v>
      </c>
      <c r="N421">
        <v>360</v>
      </c>
      <c r="O421">
        <v>1</v>
      </c>
      <c r="P421" t="s">
        <v>35</v>
      </c>
      <c r="Q421">
        <f t="shared" si="52"/>
        <v>0</v>
      </c>
      <c r="R421">
        <f t="shared" si="53"/>
        <v>1</v>
      </c>
      <c r="S421">
        <f t="shared" si="54"/>
        <v>0</v>
      </c>
      <c r="T421" t="s">
        <v>22</v>
      </c>
      <c r="U421">
        <f t="shared" si="55"/>
        <v>1</v>
      </c>
      <c r="V421">
        <v>8.0854867721028452</v>
      </c>
      <c r="W421">
        <v>7.2570027070920728</v>
      </c>
      <c r="X421">
        <v>11.835008964139341</v>
      </c>
      <c r="Y421" t="s">
        <v>23</v>
      </c>
    </row>
    <row r="422" spans="1:25" x14ac:dyDescent="0.3">
      <c r="A422" t="s">
        <v>451</v>
      </c>
      <c r="B422" t="s">
        <v>18</v>
      </c>
      <c r="C422">
        <f t="shared" si="48"/>
        <v>1</v>
      </c>
      <c r="D422" t="s">
        <v>25</v>
      </c>
      <c r="E422">
        <f t="shared" si="49"/>
        <v>1</v>
      </c>
      <c r="F422">
        <v>0</v>
      </c>
      <c r="G422" t="s">
        <v>20</v>
      </c>
      <c r="H422">
        <f t="shared" si="50"/>
        <v>1</v>
      </c>
      <c r="I422" t="s">
        <v>19</v>
      </c>
      <c r="J422">
        <f t="shared" si="51"/>
        <v>0</v>
      </c>
      <c r="K422">
        <v>5829</v>
      </c>
      <c r="L422">
        <v>0</v>
      </c>
      <c r="M422">
        <v>138000</v>
      </c>
      <c r="N422">
        <v>360</v>
      </c>
      <c r="O422">
        <v>1</v>
      </c>
      <c r="P422" t="s">
        <v>26</v>
      </c>
      <c r="Q422">
        <f t="shared" si="52"/>
        <v>0</v>
      </c>
      <c r="R422">
        <f t="shared" si="53"/>
        <v>0</v>
      </c>
      <c r="S422">
        <f t="shared" si="54"/>
        <v>1</v>
      </c>
      <c r="T422" t="s">
        <v>22</v>
      </c>
      <c r="U422">
        <f t="shared" si="55"/>
        <v>1</v>
      </c>
      <c r="V422">
        <v>8.6707722793445381</v>
      </c>
      <c r="W422">
        <v>0</v>
      </c>
      <c r="X422">
        <v>11.835008964139341</v>
      </c>
      <c r="Y422" t="s">
        <v>23</v>
      </c>
    </row>
    <row r="423" spans="1:25" x14ac:dyDescent="0.3">
      <c r="A423" t="s">
        <v>452</v>
      </c>
      <c r="B423" t="s">
        <v>48</v>
      </c>
      <c r="C423">
        <f t="shared" si="48"/>
        <v>0</v>
      </c>
      <c r="D423" t="s">
        <v>19</v>
      </c>
      <c r="E423">
        <f t="shared" si="49"/>
        <v>0</v>
      </c>
      <c r="F423">
        <v>0</v>
      </c>
      <c r="G423" t="s">
        <v>30</v>
      </c>
      <c r="H423">
        <f t="shared" si="50"/>
        <v>0</v>
      </c>
      <c r="I423" t="s">
        <v>19</v>
      </c>
      <c r="J423">
        <f t="shared" si="51"/>
        <v>0</v>
      </c>
      <c r="K423">
        <v>2720</v>
      </c>
      <c r="L423">
        <v>0</v>
      </c>
      <c r="M423">
        <v>80000</v>
      </c>
      <c r="N423">
        <v>360</v>
      </c>
      <c r="O423">
        <v>0</v>
      </c>
      <c r="P423" t="s">
        <v>21</v>
      </c>
      <c r="Q423">
        <f t="shared" si="52"/>
        <v>1</v>
      </c>
      <c r="R423">
        <f t="shared" si="53"/>
        <v>0</v>
      </c>
      <c r="S423">
        <f t="shared" si="54"/>
        <v>0</v>
      </c>
      <c r="T423" t="s">
        <v>27</v>
      </c>
      <c r="U423">
        <f t="shared" si="55"/>
        <v>0</v>
      </c>
      <c r="V423">
        <v>7.9087547387832462</v>
      </c>
      <c r="W423">
        <v>0</v>
      </c>
      <c r="X423">
        <v>11.289781913656018</v>
      </c>
      <c r="Y423" t="s">
        <v>23</v>
      </c>
    </row>
    <row r="424" spans="1:25" x14ac:dyDescent="0.3">
      <c r="A424" t="s">
        <v>453</v>
      </c>
      <c r="B424" t="s">
        <v>18</v>
      </c>
      <c r="C424">
        <f t="shared" si="48"/>
        <v>1</v>
      </c>
      <c r="D424" t="s">
        <v>25</v>
      </c>
      <c r="E424">
        <f t="shared" si="49"/>
        <v>1</v>
      </c>
      <c r="F424">
        <v>0</v>
      </c>
      <c r="G424" t="s">
        <v>20</v>
      </c>
      <c r="H424">
        <f t="shared" si="50"/>
        <v>1</v>
      </c>
      <c r="I424" t="s">
        <v>19</v>
      </c>
      <c r="J424">
        <f t="shared" si="51"/>
        <v>0</v>
      </c>
      <c r="K424">
        <v>1820</v>
      </c>
      <c r="L424">
        <v>1719</v>
      </c>
      <c r="M424">
        <v>100000</v>
      </c>
      <c r="N424">
        <v>360</v>
      </c>
      <c r="O424">
        <v>1</v>
      </c>
      <c r="P424" t="s">
        <v>21</v>
      </c>
      <c r="Q424">
        <f t="shared" si="52"/>
        <v>1</v>
      </c>
      <c r="R424">
        <f t="shared" si="53"/>
        <v>0</v>
      </c>
      <c r="S424">
        <f t="shared" si="54"/>
        <v>0</v>
      </c>
      <c r="T424" t="s">
        <v>22</v>
      </c>
      <c r="U424">
        <f t="shared" si="55"/>
        <v>1</v>
      </c>
      <c r="V424">
        <v>7.5071410797276084</v>
      </c>
      <c r="W424">
        <v>7.4500795698074986</v>
      </c>
      <c r="X424">
        <v>11.512925464970229</v>
      </c>
      <c r="Y424" t="s">
        <v>23</v>
      </c>
    </row>
    <row r="425" spans="1:25" x14ac:dyDescent="0.3">
      <c r="A425" t="s">
        <v>454</v>
      </c>
      <c r="B425" t="s">
        <v>18</v>
      </c>
      <c r="C425">
        <f t="shared" si="48"/>
        <v>1</v>
      </c>
      <c r="D425" t="s">
        <v>25</v>
      </c>
      <c r="E425">
        <f t="shared" si="49"/>
        <v>1</v>
      </c>
      <c r="F425">
        <v>1</v>
      </c>
      <c r="G425" t="s">
        <v>20</v>
      </c>
      <c r="H425">
        <f t="shared" si="50"/>
        <v>1</v>
      </c>
      <c r="I425" t="s">
        <v>19</v>
      </c>
      <c r="J425">
        <f t="shared" si="51"/>
        <v>0</v>
      </c>
      <c r="K425">
        <v>7250</v>
      </c>
      <c r="L425">
        <v>1667</v>
      </c>
      <c r="M425">
        <v>110000</v>
      </c>
      <c r="N425">
        <v>360</v>
      </c>
      <c r="O425">
        <v>0</v>
      </c>
      <c r="P425" t="s">
        <v>21</v>
      </c>
      <c r="Q425">
        <f t="shared" si="52"/>
        <v>1</v>
      </c>
      <c r="R425">
        <f t="shared" si="53"/>
        <v>0</v>
      </c>
      <c r="S425">
        <f t="shared" si="54"/>
        <v>0</v>
      </c>
      <c r="T425" t="s">
        <v>27</v>
      </c>
      <c r="U425">
        <f t="shared" si="55"/>
        <v>0</v>
      </c>
      <c r="V425">
        <v>8.8888946693715933</v>
      </c>
      <c r="W425">
        <v>7.4193805829186923</v>
      </c>
      <c r="X425">
        <v>11.608235644774552</v>
      </c>
      <c r="Y425" t="s">
        <v>23</v>
      </c>
    </row>
    <row r="426" spans="1:25" x14ac:dyDescent="0.3">
      <c r="A426" t="s">
        <v>455</v>
      </c>
      <c r="B426" t="s">
        <v>18</v>
      </c>
      <c r="C426">
        <f t="shared" si="48"/>
        <v>1</v>
      </c>
      <c r="D426" t="s">
        <v>25</v>
      </c>
      <c r="E426">
        <f t="shared" si="49"/>
        <v>1</v>
      </c>
      <c r="F426">
        <v>0</v>
      </c>
      <c r="G426" t="s">
        <v>20</v>
      </c>
      <c r="H426">
        <f t="shared" si="50"/>
        <v>1</v>
      </c>
      <c r="I426" t="s">
        <v>19</v>
      </c>
      <c r="J426">
        <f t="shared" si="51"/>
        <v>0</v>
      </c>
      <c r="K426">
        <v>14880</v>
      </c>
      <c r="L426">
        <v>0</v>
      </c>
      <c r="M426">
        <v>96000</v>
      </c>
      <c r="N426">
        <v>360</v>
      </c>
      <c r="O426">
        <v>1</v>
      </c>
      <c r="P426" t="s">
        <v>35</v>
      </c>
      <c r="Q426">
        <f t="shared" si="52"/>
        <v>0</v>
      </c>
      <c r="R426">
        <f t="shared" si="53"/>
        <v>1</v>
      </c>
      <c r="S426">
        <f t="shared" si="54"/>
        <v>0</v>
      </c>
      <c r="T426" t="s">
        <v>22</v>
      </c>
      <c r="U426">
        <f t="shared" si="55"/>
        <v>1</v>
      </c>
      <c r="V426">
        <v>9.6078405104300497</v>
      </c>
      <c r="W426">
        <v>0</v>
      </c>
      <c r="X426">
        <v>11.472103470449973</v>
      </c>
      <c r="Y426" t="s">
        <v>23</v>
      </c>
    </row>
    <row r="427" spans="1:25" x14ac:dyDescent="0.3">
      <c r="A427" t="s">
        <v>456</v>
      </c>
      <c r="B427" t="s">
        <v>18</v>
      </c>
      <c r="C427">
        <f t="shared" si="48"/>
        <v>1</v>
      </c>
      <c r="D427" t="s">
        <v>25</v>
      </c>
      <c r="E427">
        <f t="shared" si="49"/>
        <v>1</v>
      </c>
      <c r="F427">
        <v>0</v>
      </c>
      <c r="G427" t="s">
        <v>20</v>
      </c>
      <c r="H427">
        <f t="shared" si="50"/>
        <v>1</v>
      </c>
      <c r="I427" t="s">
        <v>19</v>
      </c>
      <c r="J427">
        <f t="shared" si="51"/>
        <v>0</v>
      </c>
      <c r="K427">
        <v>2666</v>
      </c>
      <c r="L427">
        <v>4300</v>
      </c>
      <c r="M427">
        <v>121000</v>
      </c>
      <c r="N427">
        <v>360</v>
      </c>
      <c r="O427">
        <v>1</v>
      </c>
      <c r="P427" t="s">
        <v>26</v>
      </c>
      <c r="Q427">
        <f t="shared" si="52"/>
        <v>0</v>
      </c>
      <c r="R427">
        <f t="shared" si="53"/>
        <v>0</v>
      </c>
      <c r="S427">
        <f t="shared" si="54"/>
        <v>1</v>
      </c>
      <c r="T427" t="s">
        <v>22</v>
      </c>
      <c r="U427">
        <f t="shared" si="55"/>
        <v>1</v>
      </c>
      <c r="V427">
        <v>7.8887095241820147</v>
      </c>
      <c r="W427">
        <v>8.3666028327837356</v>
      </c>
      <c r="X427">
        <v>11.703545824578878</v>
      </c>
      <c r="Y427" t="s">
        <v>23</v>
      </c>
    </row>
    <row r="428" spans="1:25" x14ac:dyDescent="0.3">
      <c r="A428" t="s">
        <v>457</v>
      </c>
      <c r="B428" t="s">
        <v>48</v>
      </c>
      <c r="C428">
        <f t="shared" si="48"/>
        <v>0</v>
      </c>
      <c r="D428" t="s">
        <v>19</v>
      </c>
      <c r="E428">
        <f t="shared" si="49"/>
        <v>0</v>
      </c>
      <c r="F428">
        <v>1</v>
      </c>
      <c r="G428" t="s">
        <v>30</v>
      </c>
      <c r="H428">
        <f t="shared" si="50"/>
        <v>0</v>
      </c>
      <c r="I428" t="s">
        <v>19</v>
      </c>
      <c r="J428">
        <f t="shared" si="51"/>
        <v>0</v>
      </c>
      <c r="K428">
        <v>4606</v>
      </c>
      <c r="L428">
        <v>0</v>
      </c>
      <c r="M428">
        <v>81000</v>
      </c>
      <c r="N428">
        <v>360</v>
      </c>
      <c r="O428">
        <v>1</v>
      </c>
      <c r="P428" t="s">
        <v>26</v>
      </c>
      <c r="Q428">
        <f t="shared" si="52"/>
        <v>0</v>
      </c>
      <c r="R428">
        <f t="shared" si="53"/>
        <v>0</v>
      </c>
      <c r="S428">
        <f t="shared" si="54"/>
        <v>1</v>
      </c>
      <c r="T428" t="s">
        <v>27</v>
      </c>
      <c r="U428">
        <f t="shared" si="55"/>
        <v>0</v>
      </c>
      <c r="V428">
        <v>8.4353321649359163</v>
      </c>
      <c r="W428">
        <v>0</v>
      </c>
      <c r="X428">
        <v>11.302204433654575</v>
      </c>
      <c r="Y428" t="s">
        <v>23</v>
      </c>
    </row>
    <row r="429" spans="1:25" x14ac:dyDescent="0.3">
      <c r="A429" t="s">
        <v>458</v>
      </c>
      <c r="B429" t="s">
        <v>18</v>
      </c>
      <c r="C429">
        <f t="shared" si="48"/>
        <v>1</v>
      </c>
      <c r="D429" t="s">
        <v>25</v>
      </c>
      <c r="E429">
        <f t="shared" si="49"/>
        <v>1</v>
      </c>
      <c r="F429">
        <v>2</v>
      </c>
      <c r="G429" t="s">
        <v>20</v>
      </c>
      <c r="H429">
        <f t="shared" si="50"/>
        <v>1</v>
      </c>
      <c r="I429" t="s">
        <v>19</v>
      </c>
      <c r="J429">
        <f t="shared" si="51"/>
        <v>0</v>
      </c>
      <c r="K429">
        <v>5935</v>
      </c>
      <c r="L429">
        <v>0</v>
      </c>
      <c r="M429">
        <v>133000</v>
      </c>
      <c r="N429">
        <v>360</v>
      </c>
      <c r="O429">
        <v>1</v>
      </c>
      <c r="P429" t="s">
        <v>35</v>
      </c>
      <c r="Q429">
        <f t="shared" si="52"/>
        <v>0</v>
      </c>
      <c r="R429">
        <f t="shared" si="53"/>
        <v>1</v>
      </c>
      <c r="S429">
        <f t="shared" si="54"/>
        <v>0</v>
      </c>
      <c r="T429" t="s">
        <v>22</v>
      </c>
      <c r="U429">
        <f t="shared" si="55"/>
        <v>1</v>
      </c>
      <c r="V429">
        <v>8.6887907848472157</v>
      </c>
      <c r="W429">
        <v>0</v>
      </c>
      <c r="X429">
        <v>11.798104407203891</v>
      </c>
      <c r="Y429" t="s">
        <v>23</v>
      </c>
    </row>
    <row r="430" spans="1:25" x14ac:dyDescent="0.3">
      <c r="A430" t="s">
        <v>459</v>
      </c>
      <c r="B430" t="s">
        <v>18</v>
      </c>
      <c r="C430">
        <f t="shared" si="48"/>
        <v>1</v>
      </c>
      <c r="D430" t="s">
        <v>25</v>
      </c>
      <c r="E430">
        <f t="shared" si="49"/>
        <v>1</v>
      </c>
      <c r="F430">
        <v>0</v>
      </c>
      <c r="G430" t="s">
        <v>20</v>
      </c>
      <c r="H430">
        <f t="shared" si="50"/>
        <v>1</v>
      </c>
      <c r="I430" t="s">
        <v>19</v>
      </c>
      <c r="J430">
        <f t="shared" si="51"/>
        <v>0</v>
      </c>
      <c r="K430">
        <v>2920</v>
      </c>
      <c r="L430">
        <v>16.120000839999999</v>
      </c>
      <c r="M430">
        <v>87000</v>
      </c>
      <c r="N430">
        <v>360</v>
      </c>
      <c r="O430">
        <v>1</v>
      </c>
      <c r="P430" t="s">
        <v>26</v>
      </c>
      <c r="Q430">
        <f t="shared" si="52"/>
        <v>0</v>
      </c>
      <c r="R430">
        <f t="shared" si="53"/>
        <v>0</v>
      </c>
      <c r="S430">
        <f t="shared" si="54"/>
        <v>1</v>
      </c>
      <c r="T430" t="s">
        <v>22</v>
      </c>
      <c r="U430">
        <f t="shared" si="55"/>
        <v>1</v>
      </c>
      <c r="V430">
        <v>7.9796813023877409</v>
      </c>
      <c r="W430">
        <v>2.8402474197790148</v>
      </c>
      <c r="X430">
        <v>11.373663397636721</v>
      </c>
      <c r="Y430" t="s">
        <v>23</v>
      </c>
    </row>
    <row r="431" spans="1:25" x14ac:dyDescent="0.3">
      <c r="A431" t="s">
        <v>460</v>
      </c>
      <c r="B431" t="s">
        <v>18</v>
      </c>
      <c r="C431">
        <f t="shared" si="48"/>
        <v>1</v>
      </c>
      <c r="D431" t="s">
        <v>19</v>
      </c>
      <c r="E431">
        <f t="shared" si="49"/>
        <v>0</v>
      </c>
      <c r="F431">
        <v>0</v>
      </c>
      <c r="G431" t="s">
        <v>30</v>
      </c>
      <c r="H431">
        <f t="shared" si="50"/>
        <v>0</v>
      </c>
      <c r="I431" t="s">
        <v>19</v>
      </c>
      <c r="J431">
        <f t="shared" si="51"/>
        <v>0</v>
      </c>
      <c r="K431">
        <v>2717</v>
      </c>
      <c r="L431">
        <v>0</v>
      </c>
      <c r="M431">
        <v>60000</v>
      </c>
      <c r="N431">
        <v>180</v>
      </c>
      <c r="O431">
        <v>1</v>
      </c>
      <c r="P431" t="s">
        <v>21</v>
      </c>
      <c r="Q431">
        <f t="shared" si="52"/>
        <v>1</v>
      </c>
      <c r="R431">
        <f t="shared" si="53"/>
        <v>0</v>
      </c>
      <c r="S431">
        <f t="shared" si="54"/>
        <v>0</v>
      </c>
      <c r="T431" t="s">
        <v>22</v>
      </c>
      <c r="U431">
        <f t="shared" si="55"/>
        <v>1</v>
      </c>
      <c r="V431">
        <v>7.9076515947110888</v>
      </c>
      <c r="W431">
        <v>0</v>
      </c>
      <c r="X431">
        <v>11.002099841204238</v>
      </c>
      <c r="Y431" t="s">
        <v>46</v>
      </c>
    </row>
    <row r="432" spans="1:25" x14ac:dyDescent="0.3">
      <c r="A432" t="s">
        <v>461</v>
      </c>
      <c r="B432" t="s">
        <v>48</v>
      </c>
      <c r="C432">
        <f t="shared" si="48"/>
        <v>0</v>
      </c>
      <c r="D432" t="s">
        <v>19</v>
      </c>
      <c r="E432">
        <f t="shared" si="49"/>
        <v>0</v>
      </c>
      <c r="F432">
        <v>1</v>
      </c>
      <c r="G432" t="s">
        <v>20</v>
      </c>
      <c r="H432">
        <f t="shared" si="50"/>
        <v>1</v>
      </c>
      <c r="I432" t="s">
        <v>25</v>
      </c>
      <c r="J432">
        <f t="shared" si="51"/>
        <v>1</v>
      </c>
      <c r="K432">
        <v>8624</v>
      </c>
      <c r="L432">
        <v>0</v>
      </c>
      <c r="M432">
        <v>150000</v>
      </c>
      <c r="N432">
        <v>360</v>
      </c>
      <c r="O432">
        <v>1</v>
      </c>
      <c r="P432" t="s">
        <v>35</v>
      </c>
      <c r="Q432">
        <f t="shared" si="52"/>
        <v>0</v>
      </c>
      <c r="R432">
        <f t="shared" si="53"/>
        <v>1</v>
      </c>
      <c r="S432">
        <f t="shared" si="54"/>
        <v>0</v>
      </c>
      <c r="T432" t="s">
        <v>22</v>
      </c>
      <c r="U432">
        <f t="shared" si="55"/>
        <v>1</v>
      </c>
      <c r="V432">
        <v>9.0624202418995612</v>
      </c>
      <c r="W432">
        <v>0</v>
      </c>
      <c r="X432">
        <v>11.918390573078392</v>
      </c>
      <c r="Y432" t="s">
        <v>23</v>
      </c>
    </row>
    <row r="433" spans="1:25" x14ac:dyDescent="0.3">
      <c r="A433" t="s">
        <v>462</v>
      </c>
      <c r="B433" t="s">
        <v>18</v>
      </c>
      <c r="C433">
        <f t="shared" si="48"/>
        <v>1</v>
      </c>
      <c r="D433" t="s">
        <v>19</v>
      </c>
      <c r="E433">
        <f t="shared" si="49"/>
        <v>0</v>
      </c>
      <c r="F433">
        <v>0</v>
      </c>
      <c r="G433" t="s">
        <v>20</v>
      </c>
      <c r="H433">
        <f t="shared" si="50"/>
        <v>1</v>
      </c>
      <c r="I433" t="s">
        <v>19</v>
      </c>
      <c r="J433">
        <f t="shared" si="51"/>
        <v>0</v>
      </c>
      <c r="K433">
        <v>6500</v>
      </c>
      <c r="L433">
        <v>0</v>
      </c>
      <c r="M433">
        <v>105000</v>
      </c>
      <c r="N433">
        <v>360</v>
      </c>
      <c r="O433">
        <v>0</v>
      </c>
      <c r="P433" t="s">
        <v>26</v>
      </c>
      <c r="Q433">
        <f t="shared" si="52"/>
        <v>0</v>
      </c>
      <c r="R433">
        <f t="shared" si="53"/>
        <v>0</v>
      </c>
      <c r="S433">
        <f t="shared" si="54"/>
        <v>1</v>
      </c>
      <c r="T433" t="s">
        <v>27</v>
      </c>
      <c r="U433">
        <f t="shared" si="55"/>
        <v>0</v>
      </c>
      <c r="V433">
        <v>8.7797112902044692</v>
      </c>
      <c r="W433">
        <v>0</v>
      </c>
      <c r="X433">
        <v>11.561715629139661</v>
      </c>
      <c r="Y433" t="s">
        <v>23</v>
      </c>
    </row>
    <row r="434" spans="1:25" x14ac:dyDescent="0.3">
      <c r="A434" t="s">
        <v>463</v>
      </c>
      <c r="B434" t="s">
        <v>18</v>
      </c>
      <c r="C434">
        <f t="shared" si="48"/>
        <v>1</v>
      </c>
      <c r="D434" t="s">
        <v>19</v>
      </c>
      <c r="E434">
        <f t="shared" si="49"/>
        <v>0</v>
      </c>
      <c r="F434">
        <v>0</v>
      </c>
      <c r="G434" t="s">
        <v>20</v>
      </c>
      <c r="H434">
        <f t="shared" si="50"/>
        <v>1</v>
      </c>
      <c r="I434" t="s">
        <v>19</v>
      </c>
      <c r="J434">
        <f t="shared" si="51"/>
        <v>0</v>
      </c>
      <c r="K434">
        <v>12876</v>
      </c>
      <c r="L434">
        <v>0</v>
      </c>
      <c r="M434">
        <v>405000</v>
      </c>
      <c r="N434">
        <v>360</v>
      </c>
      <c r="O434">
        <v>1</v>
      </c>
      <c r="P434" t="s">
        <v>35</v>
      </c>
      <c r="Q434">
        <f t="shared" si="52"/>
        <v>0</v>
      </c>
      <c r="R434">
        <f t="shared" si="53"/>
        <v>1</v>
      </c>
      <c r="S434">
        <f t="shared" si="54"/>
        <v>0</v>
      </c>
      <c r="T434" t="s">
        <v>22</v>
      </c>
      <c r="U434">
        <f t="shared" si="55"/>
        <v>1</v>
      </c>
      <c r="V434">
        <v>9.4631980532737838</v>
      </c>
      <c r="W434">
        <v>0</v>
      </c>
      <c r="X434">
        <v>12.911642346088676</v>
      </c>
      <c r="Y434" t="s">
        <v>23</v>
      </c>
    </row>
    <row r="435" spans="1:25" x14ac:dyDescent="0.3">
      <c r="A435" t="s">
        <v>464</v>
      </c>
      <c r="B435" t="s">
        <v>18</v>
      </c>
      <c r="C435">
        <f t="shared" si="48"/>
        <v>1</v>
      </c>
      <c r="D435" t="s">
        <v>25</v>
      </c>
      <c r="E435">
        <f t="shared" si="49"/>
        <v>1</v>
      </c>
      <c r="F435">
        <v>0</v>
      </c>
      <c r="G435" t="s">
        <v>20</v>
      </c>
      <c r="H435">
        <f t="shared" si="50"/>
        <v>1</v>
      </c>
      <c r="I435" t="s">
        <v>19</v>
      </c>
      <c r="J435">
        <f t="shared" si="51"/>
        <v>0</v>
      </c>
      <c r="K435">
        <v>2425</v>
      </c>
      <c r="L435">
        <v>2340</v>
      </c>
      <c r="M435">
        <v>143000</v>
      </c>
      <c r="N435">
        <v>360</v>
      </c>
      <c r="O435">
        <v>1</v>
      </c>
      <c r="P435" t="s">
        <v>35</v>
      </c>
      <c r="Q435">
        <f t="shared" si="52"/>
        <v>0</v>
      </c>
      <c r="R435">
        <f t="shared" si="53"/>
        <v>1</v>
      </c>
      <c r="S435">
        <f t="shared" si="54"/>
        <v>0</v>
      </c>
      <c r="T435" t="s">
        <v>22</v>
      </c>
      <c r="U435">
        <f t="shared" si="55"/>
        <v>1</v>
      </c>
      <c r="V435">
        <v>7.7939990895039957</v>
      </c>
      <c r="W435">
        <v>7.7583334674909104</v>
      </c>
      <c r="X435">
        <v>11.870599909242044</v>
      </c>
      <c r="Y435" t="s">
        <v>23</v>
      </c>
    </row>
    <row r="436" spans="1:25" x14ac:dyDescent="0.3">
      <c r="A436" t="s">
        <v>465</v>
      </c>
      <c r="B436" t="s">
        <v>18</v>
      </c>
      <c r="C436">
        <f t="shared" si="48"/>
        <v>1</v>
      </c>
      <c r="D436" t="s">
        <v>19</v>
      </c>
      <c r="E436">
        <f t="shared" si="49"/>
        <v>0</v>
      </c>
      <c r="F436">
        <v>0</v>
      </c>
      <c r="G436" t="s">
        <v>20</v>
      </c>
      <c r="H436">
        <f t="shared" si="50"/>
        <v>1</v>
      </c>
      <c r="I436" t="s">
        <v>19</v>
      </c>
      <c r="J436">
        <f t="shared" si="51"/>
        <v>0</v>
      </c>
      <c r="K436">
        <v>3750</v>
      </c>
      <c r="L436">
        <v>0</v>
      </c>
      <c r="M436">
        <v>100000</v>
      </c>
      <c r="N436">
        <v>360</v>
      </c>
      <c r="O436">
        <v>1</v>
      </c>
      <c r="P436" t="s">
        <v>21</v>
      </c>
      <c r="Q436">
        <f t="shared" si="52"/>
        <v>1</v>
      </c>
      <c r="R436">
        <f t="shared" si="53"/>
        <v>0</v>
      </c>
      <c r="S436">
        <f t="shared" si="54"/>
        <v>0</v>
      </c>
      <c r="T436" t="s">
        <v>22</v>
      </c>
      <c r="U436">
        <f t="shared" si="55"/>
        <v>1</v>
      </c>
      <c r="V436">
        <v>8.2297777500818867</v>
      </c>
      <c r="W436">
        <v>0</v>
      </c>
      <c r="X436">
        <v>11.512925464970229</v>
      </c>
      <c r="Y436" t="s">
        <v>23</v>
      </c>
    </row>
    <row r="437" spans="1:25" x14ac:dyDescent="0.3">
      <c r="A437" t="s">
        <v>466</v>
      </c>
      <c r="B437" t="s">
        <v>48</v>
      </c>
      <c r="C437">
        <f t="shared" si="48"/>
        <v>0</v>
      </c>
      <c r="D437" t="s">
        <v>25</v>
      </c>
      <c r="E437">
        <f t="shared" si="49"/>
        <v>1</v>
      </c>
      <c r="F437">
        <v>0</v>
      </c>
      <c r="G437" t="s">
        <v>20</v>
      </c>
      <c r="H437">
        <f t="shared" si="50"/>
        <v>1</v>
      </c>
      <c r="I437" t="s">
        <v>19</v>
      </c>
      <c r="J437">
        <f t="shared" si="51"/>
        <v>0</v>
      </c>
      <c r="K437">
        <v>10047</v>
      </c>
      <c r="L437">
        <v>0</v>
      </c>
      <c r="M437">
        <v>128000</v>
      </c>
      <c r="N437">
        <v>240</v>
      </c>
      <c r="O437">
        <v>1</v>
      </c>
      <c r="P437" t="s">
        <v>35</v>
      </c>
      <c r="Q437">
        <f t="shared" si="52"/>
        <v>0</v>
      </c>
      <c r="R437">
        <f t="shared" si="53"/>
        <v>1</v>
      </c>
      <c r="S437">
        <f t="shared" si="54"/>
        <v>0</v>
      </c>
      <c r="T437" t="s">
        <v>22</v>
      </c>
      <c r="U437">
        <f t="shared" si="55"/>
        <v>1</v>
      </c>
      <c r="V437">
        <v>9.2151288887079801</v>
      </c>
      <c r="W437">
        <v>0</v>
      </c>
      <c r="X437">
        <v>11.759785542901755</v>
      </c>
      <c r="Y437" t="s">
        <v>46</v>
      </c>
    </row>
    <row r="438" spans="1:25" x14ac:dyDescent="0.3">
      <c r="A438" t="s">
        <v>467</v>
      </c>
      <c r="B438" t="s">
        <v>18</v>
      </c>
      <c r="C438">
        <f t="shared" si="48"/>
        <v>1</v>
      </c>
      <c r="D438" t="s">
        <v>19</v>
      </c>
      <c r="E438">
        <f t="shared" si="49"/>
        <v>0</v>
      </c>
      <c r="F438">
        <v>0</v>
      </c>
      <c r="G438" t="s">
        <v>20</v>
      </c>
      <c r="H438">
        <f t="shared" si="50"/>
        <v>1</v>
      </c>
      <c r="I438" t="s">
        <v>19</v>
      </c>
      <c r="J438">
        <f t="shared" si="51"/>
        <v>0</v>
      </c>
      <c r="K438">
        <v>1926</v>
      </c>
      <c r="L438">
        <v>1851</v>
      </c>
      <c r="M438">
        <v>50000</v>
      </c>
      <c r="N438">
        <v>360</v>
      </c>
      <c r="O438">
        <v>1</v>
      </c>
      <c r="P438" t="s">
        <v>35</v>
      </c>
      <c r="Q438">
        <f t="shared" si="52"/>
        <v>0</v>
      </c>
      <c r="R438">
        <f t="shared" si="53"/>
        <v>1</v>
      </c>
      <c r="S438">
        <f t="shared" si="54"/>
        <v>0</v>
      </c>
      <c r="T438" t="s">
        <v>22</v>
      </c>
      <c r="U438">
        <f t="shared" si="55"/>
        <v>1</v>
      </c>
      <c r="V438">
        <v>7.5637196684143664</v>
      </c>
      <c r="W438">
        <v>7.5240214152061249</v>
      </c>
      <c r="X438">
        <v>10.819778284410283</v>
      </c>
      <c r="Y438" t="s">
        <v>23</v>
      </c>
    </row>
    <row r="439" spans="1:25" x14ac:dyDescent="0.3">
      <c r="A439" t="s">
        <v>468</v>
      </c>
      <c r="B439" t="s">
        <v>18</v>
      </c>
      <c r="C439">
        <f t="shared" si="48"/>
        <v>1</v>
      </c>
      <c r="D439" t="s">
        <v>25</v>
      </c>
      <c r="E439">
        <f t="shared" si="49"/>
        <v>1</v>
      </c>
      <c r="F439">
        <v>0</v>
      </c>
      <c r="G439" t="s">
        <v>20</v>
      </c>
      <c r="H439">
        <f t="shared" si="50"/>
        <v>1</v>
      </c>
      <c r="I439" t="s">
        <v>19</v>
      </c>
      <c r="J439">
        <f t="shared" si="51"/>
        <v>0</v>
      </c>
      <c r="K439">
        <v>2213</v>
      </c>
      <c r="L439">
        <v>1125</v>
      </c>
      <c r="M439">
        <v>128000</v>
      </c>
      <c r="N439">
        <v>360</v>
      </c>
      <c r="O439">
        <v>1</v>
      </c>
      <c r="P439" t="s">
        <v>21</v>
      </c>
      <c r="Q439">
        <f t="shared" si="52"/>
        <v>1</v>
      </c>
      <c r="R439">
        <f t="shared" si="53"/>
        <v>0</v>
      </c>
      <c r="S439">
        <f t="shared" si="54"/>
        <v>0</v>
      </c>
      <c r="T439" t="s">
        <v>22</v>
      </c>
      <c r="U439">
        <f t="shared" si="55"/>
        <v>1</v>
      </c>
      <c r="V439">
        <v>7.7025561132685816</v>
      </c>
      <c r="W439">
        <v>7.026426808699636</v>
      </c>
      <c r="X439">
        <v>11.759785542901755</v>
      </c>
      <c r="Y439" t="s">
        <v>23</v>
      </c>
    </row>
    <row r="440" spans="1:25" x14ac:dyDescent="0.3">
      <c r="A440" t="s">
        <v>469</v>
      </c>
      <c r="B440" t="s">
        <v>18</v>
      </c>
      <c r="C440">
        <f t="shared" si="48"/>
        <v>1</v>
      </c>
      <c r="D440" t="s">
        <v>19</v>
      </c>
      <c r="E440">
        <f t="shared" si="49"/>
        <v>0</v>
      </c>
      <c r="F440">
        <v>0</v>
      </c>
      <c r="G440" t="s">
        <v>20</v>
      </c>
      <c r="H440">
        <f t="shared" si="50"/>
        <v>1</v>
      </c>
      <c r="I440" t="s">
        <v>25</v>
      </c>
      <c r="J440">
        <f t="shared" si="51"/>
        <v>1</v>
      </c>
      <c r="K440">
        <v>10416</v>
      </c>
      <c r="L440">
        <v>0</v>
      </c>
      <c r="M440">
        <v>187000</v>
      </c>
      <c r="N440">
        <v>360</v>
      </c>
      <c r="O440">
        <v>0</v>
      </c>
      <c r="P440" t="s">
        <v>21</v>
      </c>
      <c r="Q440">
        <f t="shared" si="52"/>
        <v>1</v>
      </c>
      <c r="R440">
        <f t="shared" si="53"/>
        <v>0</v>
      </c>
      <c r="S440">
        <f t="shared" si="54"/>
        <v>0</v>
      </c>
      <c r="T440" t="s">
        <v>27</v>
      </c>
      <c r="U440">
        <f t="shared" si="55"/>
        <v>0</v>
      </c>
      <c r="V440">
        <v>9.251194365984448</v>
      </c>
      <c r="W440">
        <v>0</v>
      </c>
      <c r="X440">
        <v>12.138863895836725</v>
      </c>
      <c r="Y440" t="s">
        <v>23</v>
      </c>
    </row>
    <row r="441" spans="1:25" x14ac:dyDescent="0.3">
      <c r="A441" t="s">
        <v>470</v>
      </c>
      <c r="B441" t="s">
        <v>48</v>
      </c>
      <c r="C441">
        <f t="shared" si="48"/>
        <v>0</v>
      </c>
      <c r="D441" t="s">
        <v>25</v>
      </c>
      <c r="E441">
        <f t="shared" si="49"/>
        <v>1</v>
      </c>
      <c r="F441">
        <v>0</v>
      </c>
      <c r="G441" t="s">
        <v>30</v>
      </c>
      <c r="H441">
        <f t="shared" si="50"/>
        <v>0</v>
      </c>
      <c r="I441" t="s">
        <v>25</v>
      </c>
      <c r="J441">
        <f t="shared" si="51"/>
        <v>1</v>
      </c>
      <c r="K441">
        <v>7142</v>
      </c>
      <c r="L441">
        <v>0</v>
      </c>
      <c r="M441">
        <v>138000</v>
      </c>
      <c r="N441">
        <v>360</v>
      </c>
      <c r="O441">
        <v>1</v>
      </c>
      <c r="P441" t="s">
        <v>26</v>
      </c>
      <c r="Q441">
        <f t="shared" si="52"/>
        <v>0</v>
      </c>
      <c r="R441">
        <f t="shared" si="53"/>
        <v>0</v>
      </c>
      <c r="S441">
        <f t="shared" si="54"/>
        <v>1</v>
      </c>
      <c r="T441" t="s">
        <v>22</v>
      </c>
      <c r="U441">
        <f t="shared" si="55"/>
        <v>1</v>
      </c>
      <c r="V441">
        <v>8.8738881351549725</v>
      </c>
      <c r="W441">
        <v>0</v>
      </c>
      <c r="X441">
        <v>11.835008964139341</v>
      </c>
      <c r="Y441" t="s">
        <v>23</v>
      </c>
    </row>
    <row r="442" spans="1:25" x14ac:dyDescent="0.3">
      <c r="A442" t="s">
        <v>471</v>
      </c>
      <c r="B442" t="s">
        <v>18</v>
      </c>
      <c r="C442">
        <f t="shared" si="48"/>
        <v>1</v>
      </c>
      <c r="D442" t="s">
        <v>19</v>
      </c>
      <c r="E442">
        <f t="shared" si="49"/>
        <v>0</v>
      </c>
      <c r="F442">
        <v>0</v>
      </c>
      <c r="G442" t="s">
        <v>20</v>
      </c>
      <c r="H442">
        <f t="shared" si="50"/>
        <v>1</v>
      </c>
      <c r="I442" t="s">
        <v>19</v>
      </c>
      <c r="J442">
        <f t="shared" si="51"/>
        <v>0</v>
      </c>
      <c r="K442">
        <v>3660</v>
      </c>
      <c r="L442">
        <v>5064</v>
      </c>
      <c r="M442">
        <v>187000</v>
      </c>
      <c r="N442">
        <v>360</v>
      </c>
      <c r="O442">
        <v>1</v>
      </c>
      <c r="P442" t="s">
        <v>35</v>
      </c>
      <c r="Q442">
        <f t="shared" si="52"/>
        <v>0</v>
      </c>
      <c r="R442">
        <f t="shared" si="53"/>
        <v>1</v>
      </c>
      <c r="S442">
        <f t="shared" si="54"/>
        <v>0</v>
      </c>
      <c r="T442" t="s">
        <v>22</v>
      </c>
      <c r="U442">
        <f t="shared" si="55"/>
        <v>1</v>
      </c>
      <c r="V442">
        <v>8.2054916131202358</v>
      </c>
      <c r="W442">
        <v>8.5301094166827838</v>
      </c>
      <c r="X442">
        <v>12.138863895836725</v>
      </c>
      <c r="Y442" t="s">
        <v>23</v>
      </c>
    </row>
    <row r="443" spans="1:25" x14ac:dyDescent="0.3">
      <c r="A443" t="s">
        <v>472</v>
      </c>
      <c r="B443" t="s">
        <v>18</v>
      </c>
      <c r="C443">
        <f t="shared" si="48"/>
        <v>1</v>
      </c>
      <c r="D443" t="s">
        <v>25</v>
      </c>
      <c r="E443">
        <f t="shared" si="49"/>
        <v>1</v>
      </c>
      <c r="F443">
        <v>0</v>
      </c>
      <c r="G443" t="s">
        <v>20</v>
      </c>
      <c r="H443">
        <f t="shared" si="50"/>
        <v>1</v>
      </c>
      <c r="I443" t="s">
        <v>19</v>
      </c>
      <c r="J443">
        <f t="shared" si="51"/>
        <v>0</v>
      </c>
      <c r="K443">
        <v>7901</v>
      </c>
      <c r="L443">
        <v>1833</v>
      </c>
      <c r="M443">
        <v>180000</v>
      </c>
      <c r="N443">
        <v>360</v>
      </c>
      <c r="O443">
        <v>1</v>
      </c>
      <c r="P443" t="s">
        <v>26</v>
      </c>
      <c r="Q443">
        <f t="shared" si="52"/>
        <v>0</v>
      </c>
      <c r="R443">
        <f t="shared" si="53"/>
        <v>0</v>
      </c>
      <c r="S443">
        <f t="shared" si="54"/>
        <v>1</v>
      </c>
      <c r="T443" t="s">
        <v>22</v>
      </c>
      <c r="U443">
        <f t="shared" si="55"/>
        <v>1</v>
      </c>
      <c r="V443">
        <v>8.9748711709713369</v>
      </c>
      <c r="W443">
        <v>7.51425465281641</v>
      </c>
      <c r="X443">
        <v>12.100712129872347</v>
      </c>
      <c r="Y443" t="s">
        <v>23</v>
      </c>
    </row>
    <row r="444" spans="1:25" x14ac:dyDescent="0.3">
      <c r="A444" t="s">
        <v>473</v>
      </c>
      <c r="B444" t="s">
        <v>18</v>
      </c>
      <c r="C444">
        <f t="shared" si="48"/>
        <v>1</v>
      </c>
      <c r="D444" t="s">
        <v>19</v>
      </c>
      <c r="E444">
        <f t="shared" si="49"/>
        <v>0</v>
      </c>
      <c r="F444">
        <v>3</v>
      </c>
      <c r="G444" t="s">
        <v>30</v>
      </c>
      <c r="H444">
        <f t="shared" si="50"/>
        <v>0</v>
      </c>
      <c r="I444" t="s">
        <v>19</v>
      </c>
      <c r="J444">
        <f t="shared" si="51"/>
        <v>0</v>
      </c>
      <c r="K444">
        <v>4707</v>
      </c>
      <c r="L444">
        <v>1993</v>
      </c>
      <c r="M444">
        <v>148000</v>
      </c>
      <c r="N444">
        <v>360</v>
      </c>
      <c r="O444">
        <v>1</v>
      </c>
      <c r="P444" t="s">
        <v>35</v>
      </c>
      <c r="Q444">
        <f t="shared" si="52"/>
        <v>0</v>
      </c>
      <c r="R444">
        <f t="shared" si="53"/>
        <v>1</v>
      </c>
      <c r="S444">
        <f t="shared" si="54"/>
        <v>0</v>
      </c>
      <c r="T444" t="s">
        <v>22</v>
      </c>
      <c r="U444">
        <f t="shared" si="55"/>
        <v>1</v>
      </c>
      <c r="V444">
        <v>8.4570184683801681</v>
      </c>
      <c r="W444">
        <v>7.5978979505217836</v>
      </c>
      <c r="X444">
        <v>11.904967552746252</v>
      </c>
      <c r="Y444" t="s">
        <v>23</v>
      </c>
    </row>
    <row r="445" spans="1:25" x14ac:dyDescent="0.3">
      <c r="A445" t="s">
        <v>474</v>
      </c>
      <c r="B445" t="s">
        <v>18</v>
      </c>
      <c r="C445">
        <f t="shared" si="48"/>
        <v>1</v>
      </c>
      <c r="D445" t="s">
        <v>19</v>
      </c>
      <c r="E445">
        <f t="shared" si="49"/>
        <v>0</v>
      </c>
      <c r="F445">
        <v>1</v>
      </c>
      <c r="G445" t="s">
        <v>20</v>
      </c>
      <c r="H445">
        <f t="shared" si="50"/>
        <v>1</v>
      </c>
      <c r="I445" t="s">
        <v>19</v>
      </c>
      <c r="J445">
        <f t="shared" si="51"/>
        <v>0</v>
      </c>
      <c r="K445">
        <v>37719</v>
      </c>
      <c r="L445">
        <v>0</v>
      </c>
      <c r="M445">
        <v>152000</v>
      </c>
      <c r="N445">
        <v>360</v>
      </c>
      <c r="O445">
        <v>1</v>
      </c>
      <c r="P445" t="s">
        <v>35</v>
      </c>
      <c r="Q445">
        <f t="shared" si="52"/>
        <v>0</v>
      </c>
      <c r="R445">
        <f t="shared" si="53"/>
        <v>1</v>
      </c>
      <c r="S445">
        <f t="shared" si="54"/>
        <v>0</v>
      </c>
      <c r="T445" t="s">
        <v>22</v>
      </c>
      <c r="U445">
        <f t="shared" si="55"/>
        <v>1</v>
      </c>
      <c r="V445">
        <v>10.537945736747391</v>
      </c>
      <c r="W445">
        <v>0</v>
      </c>
      <c r="X445">
        <v>11.931635799828413</v>
      </c>
      <c r="Y445" t="s">
        <v>23</v>
      </c>
    </row>
    <row r="446" spans="1:25" x14ac:dyDescent="0.3">
      <c r="A446" t="s">
        <v>475</v>
      </c>
      <c r="B446" t="s">
        <v>18</v>
      </c>
      <c r="C446">
        <f t="shared" si="48"/>
        <v>1</v>
      </c>
      <c r="D446" t="s">
        <v>25</v>
      </c>
      <c r="E446">
        <f t="shared" si="49"/>
        <v>1</v>
      </c>
      <c r="F446">
        <v>0</v>
      </c>
      <c r="G446" t="s">
        <v>20</v>
      </c>
      <c r="H446">
        <f t="shared" si="50"/>
        <v>1</v>
      </c>
      <c r="I446" t="s">
        <v>19</v>
      </c>
      <c r="J446">
        <f t="shared" si="51"/>
        <v>0</v>
      </c>
      <c r="K446">
        <v>7333</v>
      </c>
      <c r="L446">
        <v>8333</v>
      </c>
      <c r="M446">
        <v>175000</v>
      </c>
      <c r="N446">
        <v>300</v>
      </c>
      <c r="O446">
        <v>1</v>
      </c>
      <c r="P446" t="s">
        <v>26</v>
      </c>
      <c r="Q446">
        <f t="shared" si="52"/>
        <v>0</v>
      </c>
      <c r="R446">
        <f t="shared" si="53"/>
        <v>0</v>
      </c>
      <c r="S446">
        <f t="shared" si="54"/>
        <v>1</v>
      </c>
      <c r="T446" t="s">
        <v>22</v>
      </c>
      <c r="U446">
        <f t="shared" si="55"/>
        <v>1</v>
      </c>
      <c r="V446">
        <v>8.9002763486312713</v>
      </c>
      <c r="W446">
        <v>9.0280988119823995</v>
      </c>
      <c r="X446">
        <v>12.072541252905651</v>
      </c>
      <c r="Y446" t="s">
        <v>46</v>
      </c>
    </row>
    <row r="447" spans="1:25" x14ac:dyDescent="0.3">
      <c r="A447" t="s">
        <v>476</v>
      </c>
      <c r="B447" t="s">
        <v>18</v>
      </c>
      <c r="C447">
        <f t="shared" si="48"/>
        <v>1</v>
      </c>
      <c r="D447" t="s">
        <v>25</v>
      </c>
      <c r="E447">
        <f t="shared" si="49"/>
        <v>1</v>
      </c>
      <c r="F447">
        <v>1</v>
      </c>
      <c r="G447" t="s">
        <v>20</v>
      </c>
      <c r="H447">
        <f t="shared" si="50"/>
        <v>1</v>
      </c>
      <c r="I447" t="s">
        <v>25</v>
      </c>
      <c r="J447">
        <f t="shared" si="51"/>
        <v>1</v>
      </c>
      <c r="K447">
        <v>3466</v>
      </c>
      <c r="L447">
        <v>1210</v>
      </c>
      <c r="M447">
        <v>130000</v>
      </c>
      <c r="N447">
        <v>360</v>
      </c>
      <c r="O447">
        <v>1</v>
      </c>
      <c r="P447" t="s">
        <v>26</v>
      </c>
      <c r="Q447">
        <f t="shared" si="52"/>
        <v>0</v>
      </c>
      <c r="R447">
        <f t="shared" si="53"/>
        <v>0</v>
      </c>
      <c r="S447">
        <f t="shared" si="54"/>
        <v>1</v>
      </c>
      <c r="T447" t="s">
        <v>22</v>
      </c>
      <c r="U447">
        <f t="shared" si="55"/>
        <v>1</v>
      </c>
      <c r="V447">
        <v>8.1510449456850242</v>
      </c>
      <c r="W447">
        <v>7.0992017435530919</v>
      </c>
      <c r="X447">
        <v>11.77528972943772</v>
      </c>
      <c r="Y447" t="s">
        <v>23</v>
      </c>
    </row>
    <row r="448" spans="1:25" x14ac:dyDescent="0.3">
      <c r="A448" t="s">
        <v>477</v>
      </c>
      <c r="B448" t="s">
        <v>18</v>
      </c>
      <c r="C448">
        <f t="shared" si="48"/>
        <v>1</v>
      </c>
      <c r="D448" t="s">
        <v>25</v>
      </c>
      <c r="E448">
        <f t="shared" si="49"/>
        <v>1</v>
      </c>
      <c r="F448">
        <v>2</v>
      </c>
      <c r="G448" t="s">
        <v>30</v>
      </c>
      <c r="H448">
        <f t="shared" si="50"/>
        <v>0</v>
      </c>
      <c r="I448" t="s">
        <v>19</v>
      </c>
      <c r="J448">
        <f t="shared" si="51"/>
        <v>0</v>
      </c>
      <c r="K448">
        <v>4652</v>
      </c>
      <c r="L448">
        <v>0</v>
      </c>
      <c r="M448">
        <v>110000</v>
      </c>
      <c r="N448">
        <v>360</v>
      </c>
      <c r="O448">
        <v>1</v>
      </c>
      <c r="P448" t="s">
        <v>26</v>
      </c>
      <c r="Q448">
        <f t="shared" si="52"/>
        <v>0</v>
      </c>
      <c r="R448">
        <f t="shared" si="53"/>
        <v>0</v>
      </c>
      <c r="S448">
        <f t="shared" si="54"/>
        <v>1</v>
      </c>
      <c r="T448" t="s">
        <v>22</v>
      </c>
      <c r="U448">
        <f t="shared" si="55"/>
        <v>1</v>
      </c>
      <c r="V448">
        <v>8.4452674518446482</v>
      </c>
      <c r="W448">
        <v>0</v>
      </c>
      <c r="X448">
        <v>11.608235644774552</v>
      </c>
      <c r="Y448" t="s">
        <v>23</v>
      </c>
    </row>
    <row r="449" spans="1:25" x14ac:dyDescent="0.3">
      <c r="A449" t="s">
        <v>478</v>
      </c>
      <c r="B449" t="s">
        <v>18</v>
      </c>
      <c r="C449">
        <f t="shared" si="48"/>
        <v>1</v>
      </c>
      <c r="D449" t="s">
        <v>25</v>
      </c>
      <c r="E449">
        <f t="shared" si="49"/>
        <v>1</v>
      </c>
      <c r="F449">
        <v>0</v>
      </c>
      <c r="G449" t="s">
        <v>20</v>
      </c>
      <c r="H449">
        <f t="shared" si="50"/>
        <v>1</v>
      </c>
      <c r="I449" t="s">
        <v>19</v>
      </c>
      <c r="J449">
        <f t="shared" si="51"/>
        <v>0</v>
      </c>
      <c r="K449">
        <v>3539</v>
      </c>
      <c r="L449">
        <v>1376</v>
      </c>
      <c r="M449">
        <v>55000</v>
      </c>
      <c r="N449">
        <v>360</v>
      </c>
      <c r="O449">
        <v>1</v>
      </c>
      <c r="P449" t="s">
        <v>26</v>
      </c>
      <c r="Q449">
        <f t="shared" si="52"/>
        <v>0</v>
      </c>
      <c r="R449">
        <f t="shared" si="53"/>
        <v>0</v>
      </c>
      <c r="S449">
        <f t="shared" si="54"/>
        <v>1</v>
      </c>
      <c r="T449" t="s">
        <v>27</v>
      </c>
      <c r="U449">
        <f t="shared" si="55"/>
        <v>0</v>
      </c>
      <c r="V449">
        <v>8.1718820061278201</v>
      </c>
      <c r="W449">
        <v>7.2276624987286553</v>
      </c>
      <c r="X449">
        <v>10.915088464214607</v>
      </c>
      <c r="Y449" t="s">
        <v>23</v>
      </c>
    </row>
    <row r="450" spans="1:25" x14ac:dyDescent="0.3">
      <c r="A450" t="s">
        <v>479</v>
      </c>
      <c r="B450" t="s">
        <v>18</v>
      </c>
      <c r="C450">
        <f t="shared" si="48"/>
        <v>1</v>
      </c>
      <c r="D450" t="s">
        <v>25</v>
      </c>
      <c r="E450">
        <f t="shared" si="49"/>
        <v>1</v>
      </c>
      <c r="F450">
        <v>2</v>
      </c>
      <c r="G450" t="s">
        <v>20</v>
      </c>
      <c r="H450">
        <f t="shared" si="50"/>
        <v>1</v>
      </c>
      <c r="I450" t="s">
        <v>19</v>
      </c>
      <c r="J450">
        <f t="shared" si="51"/>
        <v>0</v>
      </c>
      <c r="K450">
        <v>3340</v>
      </c>
      <c r="L450">
        <v>1710</v>
      </c>
      <c r="M450">
        <v>150000</v>
      </c>
      <c r="N450">
        <v>360</v>
      </c>
      <c r="O450">
        <v>0</v>
      </c>
      <c r="P450" t="s">
        <v>26</v>
      </c>
      <c r="Q450">
        <f t="shared" si="52"/>
        <v>0</v>
      </c>
      <c r="R450">
        <f t="shared" si="53"/>
        <v>0</v>
      </c>
      <c r="S450">
        <f t="shared" si="54"/>
        <v>1</v>
      </c>
      <c r="T450" t="s">
        <v>27</v>
      </c>
      <c r="U450">
        <f t="shared" si="55"/>
        <v>0</v>
      </c>
      <c r="V450">
        <v>8.1140254423567573</v>
      </c>
      <c r="W450">
        <v>7.4448332738921934</v>
      </c>
      <c r="X450">
        <v>11.918390573078392</v>
      </c>
      <c r="Y450" t="s">
        <v>23</v>
      </c>
    </row>
    <row r="451" spans="1:25" x14ac:dyDescent="0.3">
      <c r="A451" t="s">
        <v>480</v>
      </c>
      <c r="B451" t="s">
        <v>18</v>
      </c>
      <c r="C451">
        <f t="shared" ref="C451:C514" si="56">IF(B451="Male",1,0)</f>
        <v>1</v>
      </c>
      <c r="D451" t="s">
        <v>19</v>
      </c>
      <c r="E451">
        <f t="shared" ref="E451:E514" si="57">IF(D451="No",0,1)</f>
        <v>0</v>
      </c>
      <c r="F451">
        <v>1</v>
      </c>
      <c r="G451" t="s">
        <v>30</v>
      </c>
      <c r="H451">
        <f t="shared" ref="H451:H514" si="58">IF(G451="Graduate",1,0)</f>
        <v>0</v>
      </c>
      <c r="I451" t="s">
        <v>25</v>
      </c>
      <c r="J451">
        <f t="shared" ref="J451:J514" si="59">IF(I451="No",0,1)</f>
        <v>1</v>
      </c>
      <c r="K451">
        <v>2769</v>
      </c>
      <c r="L451">
        <v>1542</v>
      </c>
      <c r="M451">
        <v>190000</v>
      </c>
      <c r="N451">
        <v>360</v>
      </c>
      <c r="O451">
        <v>1</v>
      </c>
      <c r="P451" t="s">
        <v>35</v>
      </c>
      <c r="Q451">
        <f t="shared" ref="Q451:Q514" si="60">IF(P451="Urban",1,0)</f>
        <v>0</v>
      </c>
      <c r="R451">
        <f t="shared" ref="R451:R514" si="61">IF(P451="Semiurban",1,0)</f>
        <v>1</v>
      </c>
      <c r="S451">
        <f t="shared" ref="S451:S514" si="62">IF(P451="Rural",1,0)</f>
        <v>0</v>
      </c>
      <c r="T451" t="s">
        <v>27</v>
      </c>
      <c r="U451">
        <f t="shared" ref="U451:U514" si="63">IF(T451="Y",1,0)</f>
        <v>0</v>
      </c>
      <c r="V451">
        <v>7.9266025991813844</v>
      </c>
      <c r="W451">
        <v>7.3414838523631607</v>
      </c>
      <c r="X451">
        <v>12.154779351142624</v>
      </c>
      <c r="Y451" t="s">
        <v>23</v>
      </c>
    </row>
    <row r="452" spans="1:25" x14ac:dyDescent="0.3">
      <c r="A452" t="s">
        <v>481</v>
      </c>
      <c r="B452" t="s">
        <v>18</v>
      </c>
      <c r="C452">
        <f t="shared" si="56"/>
        <v>1</v>
      </c>
      <c r="D452" t="s">
        <v>25</v>
      </c>
      <c r="E452">
        <f t="shared" si="57"/>
        <v>1</v>
      </c>
      <c r="F452">
        <v>2</v>
      </c>
      <c r="G452" t="s">
        <v>30</v>
      </c>
      <c r="H452">
        <f t="shared" si="58"/>
        <v>0</v>
      </c>
      <c r="I452" t="s">
        <v>19</v>
      </c>
      <c r="J452">
        <f t="shared" si="59"/>
        <v>0</v>
      </c>
      <c r="K452">
        <v>2309</v>
      </c>
      <c r="L452">
        <v>1255</v>
      </c>
      <c r="M452">
        <v>125000</v>
      </c>
      <c r="N452">
        <v>360</v>
      </c>
      <c r="O452">
        <v>0</v>
      </c>
      <c r="P452" t="s">
        <v>26</v>
      </c>
      <c r="Q452">
        <f t="shared" si="60"/>
        <v>0</v>
      </c>
      <c r="R452">
        <f t="shared" si="61"/>
        <v>0</v>
      </c>
      <c r="S452">
        <f t="shared" si="62"/>
        <v>1</v>
      </c>
      <c r="T452" t="s">
        <v>27</v>
      </c>
      <c r="U452">
        <f t="shared" si="63"/>
        <v>0</v>
      </c>
      <c r="V452">
        <v>7.7450028035158391</v>
      </c>
      <c r="W452">
        <v>7.1356873470281439</v>
      </c>
      <c r="X452">
        <v>11.736069016284437</v>
      </c>
      <c r="Y452" t="s">
        <v>23</v>
      </c>
    </row>
    <row r="453" spans="1:25" x14ac:dyDescent="0.3">
      <c r="A453" t="s">
        <v>482</v>
      </c>
      <c r="B453" t="s">
        <v>18</v>
      </c>
      <c r="C453">
        <f t="shared" si="56"/>
        <v>1</v>
      </c>
      <c r="D453" t="s">
        <v>25</v>
      </c>
      <c r="E453">
        <f t="shared" si="57"/>
        <v>1</v>
      </c>
      <c r="F453">
        <v>2</v>
      </c>
      <c r="G453" t="s">
        <v>30</v>
      </c>
      <c r="H453">
        <f t="shared" si="58"/>
        <v>0</v>
      </c>
      <c r="I453" t="s">
        <v>19</v>
      </c>
      <c r="J453">
        <f t="shared" si="59"/>
        <v>0</v>
      </c>
      <c r="K453">
        <v>1958</v>
      </c>
      <c r="L453">
        <v>1456</v>
      </c>
      <c r="M453">
        <v>60000</v>
      </c>
      <c r="N453">
        <v>300</v>
      </c>
      <c r="O453">
        <v>1</v>
      </c>
      <c r="P453" t="s">
        <v>21</v>
      </c>
      <c r="Q453">
        <f t="shared" si="60"/>
        <v>1</v>
      </c>
      <c r="R453">
        <f t="shared" si="61"/>
        <v>0</v>
      </c>
      <c r="S453">
        <f t="shared" si="62"/>
        <v>0</v>
      </c>
      <c r="T453" t="s">
        <v>22</v>
      </c>
      <c r="U453">
        <f t="shared" si="63"/>
        <v>1</v>
      </c>
      <c r="V453">
        <v>7.580189417944541</v>
      </c>
      <c r="W453">
        <v>7.2841348061952047</v>
      </c>
      <c r="X453">
        <v>11.002099841204238</v>
      </c>
      <c r="Y453" t="s">
        <v>46</v>
      </c>
    </row>
    <row r="454" spans="1:25" x14ac:dyDescent="0.3">
      <c r="A454" t="s">
        <v>483</v>
      </c>
      <c r="B454" t="s">
        <v>18</v>
      </c>
      <c r="C454">
        <f t="shared" si="56"/>
        <v>1</v>
      </c>
      <c r="D454" t="s">
        <v>25</v>
      </c>
      <c r="E454">
        <f t="shared" si="57"/>
        <v>1</v>
      </c>
      <c r="F454">
        <v>0</v>
      </c>
      <c r="G454" t="s">
        <v>20</v>
      </c>
      <c r="H454">
        <f t="shared" si="58"/>
        <v>1</v>
      </c>
      <c r="I454" t="s">
        <v>19</v>
      </c>
      <c r="J454">
        <f t="shared" si="59"/>
        <v>0</v>
      </c>
      <c r="K454">
        <v>3948</v>
      </c>
      <c r="L454">
        <v>1733</v>
      </c>
      <c r="M454">
        <v>149000</v>
      </c>
      <c r="N454">
        <v>360</v>
      </c>
      <c r="O454">
        <v>0</v>
      </c>
      <c r="P454" t="s">
        <v>26</v>
      </c>
      <c r="Q454">
        <f t="shared" si="60"/>
        <v>0</v>
      </c>
      <c r="R454">
        <f t="shared" si="61"/>
        <v>0</v>
      </c>
      <c r="S454">
        <f t="shared" si="62"/>
        <v>1</v>
      </c>
      <c r="T454" t="s">
        <v>27</v>
      </c>
      <c r="U454">
        <f t="shared" si="63"/>
        <v>0</v>
      </c>
      <c r="V454">
        <v>8.2812176612866502</v>
      </c>
      <c r="W454">
        <v>7.4581861573404868</v>
      </c>
      <c r="X454">
        <v>11.911701584927597</v>
      </c>
      <c r="Y454" t="s">
        <v>23</v>
      </c>
    </row>
    <row r="455" spans="1:25" x14ac:dyDescent="0.3">
      <c r="A455" t="s">
        <v>484</v>
      </c>
      <c r="B455" t="s">
        <v>18</v>
      </c>
      <c r="C455">
        <f t="shared" si="56"/>
        <v>1</v>
      </c>
      <c r="D455" t="s">
        <v>25</v>
      </c>
      <c r="E455">
        <f t="shared" si="57"/>
        <v>1</v>
      </c>
      <c r="F455">
        <v>0</v>
      </c>
      <c r="G455" t="s">
        <v>20</v>
      </c>
      <c r="H455">
        <f t="shared" si="58"/>
        <v>1</v>
      </c>
      <c r="I455" t="s">
        <v>19</v>
      </c>
      <c r="J455">
        <f t="shared" si="59"/>
        <v>0</v>
      </c>
      <c r="K455">
        <v>2483</v>
      </c>
      <c r="L455">
        <v>2466</v>
      </c>
      <c r="M455">
        <v>90000</v>
      </c>
      <c r="N455">
        <v>180</v>
      </c>
      <c r="O455">
        <v>0</v>
      </c>
      <c r="P455" t="s">
        <v>26</v>
      </c>
      <c r="Q455">
        <f t="shared" si="60"/>
        <v>0</v>
      </c>
      <c r="R455">
        <f t="shared" si="61"/>
        <v>0</v>
      </c>
      <c r="S455">
        <f t="shared" si="62"/>
        <v>1</v>
      </c>
      <c r="T455" t="s">
        <v>22</v>
      </c>
      <c r="U455">
        <f t="shared" si="63"/>
        <v>1</v>
      </c>
      <c r="V455">
        <v>7.8176254430533696</v>
      </c>
      <c r="W455">
        <v>7.8107581165293567</v>
      </c>
      <c r="X455">
        <v>11.407564949312402</v>
      </c>
      <c r="Y455" t="s">
        <v>46</v>
      </c>
    </row>
    <row r="456" spans="1:25" x14ac:dyDescent="0.3">
      <c r="A456" t="s">
        <v>485</v>
      </c>
      <c r="B456" t="s">
        <v>18</v>
      </c>
      <c r="C456">
        <f t="shared" si="56"/>
        <v>1</v>
      </c>
      <c r="D456" t="s">
        <v>19</v>
      </c>
      <c r="E456">
        <f t="shared" si="57"/>
        <v>0</v>
      </c>
      <c r="F456">
        <v>0</v>
      </c>
      <c r="G456" t="s">
        <v>20</v>
      </c>
      <c r="H456">
        <f t="shared" si="58"/>
        <v>1</v>
      </c>
      <c r="I456" t="s">
        <v>25</v>
      </c>
      <c r="J456">
        <f t="shared" si="59"/>
        <v>1</v>
      </c>
      <c r="K456">
        <v>7085</v>
      </c>
      <c r="L456">
        <v>0</v>
      </c>
      <c r="M456">
        <v>84000</v>
      </c>
      <c r="N456">
        <v>360</v>
      </c>
      <c r="O456">
        <v>1</v>
      </c>
      <c r="P456" t="s">
        <v>35</v>
      </c>
      <c r="Q456">
        <f t="shared" si="60"/>
        <v>0</v>
      </c>
      <c r="R456">
        <f t="shared" si="61"/>
        <v>1</v>
      </c>
      <c r="S456">
        <f t="shared" si="62"/>
        <v>0</v>
      </c>
      <c r="T456" t="s">
        <v>22</v>
      </c>
      <c r="U456">
        <f t="shared" si="63"/>
        <v>1</v>
      </c>
      <c r="V456">
        <v>8.8658762854254167</v>
      </c>
      <c r="W456">
        <v>0</v>
      </c>
      <c r="X456">
        <v>11.33857207782545</v>
      </c>
      <c r="Y456" t="s">
        <v>23</v>
      </c>
    </row>
    <row r="457" spans="1:25" x14ac:dyDescent="0.3">
      <c r="A457" t="s">
        <v>486</v>
      </c>
      <c r="B457" t="s">
        <v>18</v>
      </c>
      <c r="C457">
        <f t="shared" si="56"/>
        <v>1</v>
      </c>
      <c r="D457" t="s">
        <v>25</v>
      </c>
      <c r="E457">
        <f t="shared" si="57"/>
        <v>1</v>
      </c>
      <c r="F457">
        <v>2</v>
      </c>
      <c r="G457" t="s">
        <v>20</v>
      </c>
      <c r="H457">
        <f t="shared" si="58"/>
        <v>1</v>
      </c>
      <c r="I457" t="s">
        <v>19</v>
      </c>
      <c r="J457">
        <f t="shared" si="59"/>
        <v>0</v>
      </c>
      <c r="K457">
        <v>3859</v>
      </c>
      <c r="L457">
        <v>0</v>
      </c>
      <c r="M457">
        <v>96000</v>
      </c>
      <c r="N457">
        <v>360</v>
      </c>
      <c r="O457">
        <v>1</v>
      </c>
      <c r="P457" t="s">
        <v>35</v>
      </c>
      <c r="Q457">
        <f t="shared" si="60"/>
        <v>0</v>
      </c>
      <c r="R457">
        <f t="shared" si="61"/>
        <v>1</v>
      </c>
      <c r="S457">
        <f t="shared" si="62"/>
        <v>0</v>
      </c>
      <c r="T457" t="s">
        <v>22</v>
      </c>
      <c r="U457">
        <f t="shared" si="63"/>
        <v>1</v>
      </c>
      <c r="V457">
        <v>8.258422462458876</v>
      </c>
      <c r="W457">
        <v>0</v>
      </c>
      <c r="X457">
        <v>11.472103470449973</v>
      </c>
      <c r="Y457" t="s">
        <v>23</v>
      </c>
    </row>
    <row r="458" spans="1:25" x14ac:dyDescent="0.3">
      <c r="A458" t="s">
        <v>487</v>
      </c>
      <c r="B458" t="s">
        <v>18</v>
      </c>
      <c r="C458">
        <f t="shared" si="56"/>
        <v>1</v>
      </c>
      <c r="D458" t="s">
        <v>25</v>
      </c>
      <c r="E458">
        <f t="shared" si="57"/>
        <v>1</v>
      </c>
      <c r="F458">
        <v>0</v>
      </c>
      <c r="G458" t="s">
        <v>20</v>
      </c>
      <c r="H458">
        <f t="shared" si="58"/>
        <v>1</v>
      </c>
      <c r="I458" t="s">
        <v>19</v>
      </c>
      <c r="J458">
        <f t="shared" si="59"/>
        <v>0</v>
      </c>
      <c r="K458">
        <v>4301</v>
      </c>
      <c r="L458">
        <v>0</v>
      </c>
      <c r="M458">
        <v>118000</v>
      </c>
      <c r="N458">
        <v>360</v>
      </c>
      <c r="O458">
        <v>1</v>
      </c>
      <c r="P458" t="s">
        <v>21</v>
      </c>
      <c r="Q458">
        <f t="shared" si="60"/>
        <v>1</v>
      </c>
      <c r="R458">
        <f t="shared" si="61"/>
        <v>0</v>
      </c>
      <c r="S458">
        <f t="shared" si="62"/>
        <v>0</v>
      </c>
      <c r="T458" t="s">
        <v>22</v>
      </c>
      <c r="U458">
        <f t="shared" si="63"/>
        <v>1</v>
      </c>
      <c r="V458">
        <v>8.3668353098276746</v>
      </c>
      <c r="W458">
        <v>0</v>
      </c>
      <c r="X458">
        <v>11.678439903447801</v>
      </c>
      <c r="Y458" t="s">
        <v>23</v>
      </c>
    </row>
    <row r="459" spans="1:25" x14ac:dyDescent="0.3">
      <c r="A459" t="s">
        <v>488</v>
      </c>
      <c r="B459" t="s">
        <v>18</v>
      </c>
      <c r="C459">
        <f t="shared" si="56"/>
        <v>1</v>
      </c>
      <c r="D459" t="s">
        <v>25</v>
      </c>
      <c r="E459">
        <f t="shared" si="57"/>
        <v>1</v>
      </c>
      <c r="F459">
        <v>0</v>
      </c>
      <c r="G459" t="s">
        <v>20</v>
      </c>
      <c r="H459">
        <f t="shared" si="58"/>
        <v>1</v>
      </c>
      <c r="I459" t="s">
        <v>19</v>
      </c>
      <c r="J459">
        <f t="shared" si="59"/>
        <v>0</v>
      </c>
      <c r="K459">
        <v>3708</v>
      </c>
      <c r="L459">
        <v>2569</v>
      </c>
      <c r="M459">
        <v>173000</v>
      </c>
      <c r="N459">
        <v>360</v>
      </c>
      <c r="O459">
        <v>1</v>
      </c>
      <c r="P459" t="s">
        <v>21</v>
      </c>
      <c r="Q459">
        <f t="shared" si="60"/>
        <v>1</v>
      </c>
      <c r="R459">
        <f t="shared" si="61"/>
        <v>0</v>
      </c>
      <c r="S459">
        <f t="shared" si="62"/>
        <v>0</v>
      </c>
      <c r="T459" t="s">
        <v>27</v>
      </c>
      <c r="U459">
        <f t="shared" si="63"/>
        <v>0</v>
      </c>
      <c r="V459">
        <v>8.2185175774895907</v>
      </c>
      <c r="W459">
        <v>7.8516611778892651</v>
      </c>
      <c r="X459">
        <v>12.061046873479915</v>
      </c>
      <c r="Y459" t="s">
        <v>23</v>
      </c>
    </row>
    <row r="460" spans="1:25" x14ac:dyDescent="0.3">
      <c r="A460" t="s">
        <v>489</v>
      </c>
      <c r="B460" t="s">
        <v>18</v>
      </c>
      <c r="C460">
        <f t="shared" si="56"/>
        <v>1</v>
      </c>
      <c r="D460" t="s">
        <v>19</v>
      </c>
      <c r="E460">
        <f t="shared" si="57"/>
        <v>0</v>
      </c>
      <c r="F460">
        <v>2</v>
      </c>
      <c r="G460" t="s">
        <v>20</v>
      </c>
      <c r="H460">
        <f t="shared" si="58"/>
        <v>1</v>
      </c>
      <c r="I460" t="s">
        <v>19</v>
      </c>
      <c r="J460">
        <f t="shared" si="59"/>
        <v>0</v>
      </c>
      <c r="K460">
        <v>4354</v>
      </c>
      <c r="L460">
        <v>0</v>
      </c>
      <c r="M460">
        <v>136000</v>
      </c>
      <c r="N460">
        <v>360</v>
      </c>
      <c r="O460">
        <v>1</v>
      </c>
      <c r="P460" t="s">
        <v>26</v>
      </c>
      <c r="Q460">
        <f t="shared" si="60"/>
        <v>0</v>
      </c>
      <c r="R460">
        <f t="shared" si="61"/>
        <v>0</v>
      </c>
      <c r="S460">
        <f t="shared" si="62"/>
        <v>1</v>
      </c>
      <c r="T460" t="s">
        <v>22</v>
      </c>
      <c r="U460">
        <f t="shared" si="63"/>
        <v>1</v>
      </c>
      <c r="V460">
        <v>8.3790798892866025</v>
      </c>
      <c r="W460">
        <v>0</v>
      </c>
      <c r="X460">
        <v>11.820410164718188</v>
      </c>
      <c r="Y460" t="s">
        <v>23</v>
      </c>
    </row>
    <row r="461" spans="1:25" x14ac:dyDescent="0.3">
      <c r="A461" t="s">
        <v>490</v>
      </c>
      <c r="B461" t="s">
        <v>18</v>
      </c>
      <c r="C461">
        <f t="shared" si="56"/>
        <v>1</v>
      </c>
      <c r="D461" t="s">
        <v>25</v>
      </c>
      <c r="E461">
        <f t="shared" si="57"/>
        <v>1</v>
      </c>
      <c r="F461">
        <v>0</v>
      </c>
      <c r="G461" t="s">
        <v>20</v>
      </c>
      <c r="H461">
        <f t="shared" si="58"/>
        <v>1</v>
      </c>
      <c r="I461" t="s">
        <v>19</v>
      </c>
      <c r="J461">
        <f t="shared" si="59"/>
        <v>0</v>
      </c>
      <c r="K461">
        <v>8334</v>
      </c>
      <c r="L461">
        <v>0</v>
      </c>
      <c r="M461">
        <v>160000</v>
      </c>
      <c r="N461">
        <v>360</v>
      </c>
      <c r="O461">
        <v>1</v>
      </c>
      <c r="P461" t="s">
        <v>35</v>
      </c>
      <c r="Q461">
        <f t="shared" si="60"/>
        <v>0</v>
      </c>
      <c r="R461">
        <f t="shared" si="61"/>
        <v>1</v>
      </c>
      <c r="S461">
        <f t="shared" si="62"/>
        <v>0</v>
      </c>
      <c r="T461" t="s">
        <v>27</v>
      </c>
      <c r="U461">
        <f t="shared" si="63"/>
        <v>0</v>
      </c>
      <c r="V461">
        <v>9.0282187951848947</v>
      </c>
      <c r="W461">
        <v>0</v>
      </c>
      <c r="X461">
        <v>11.982929094215963</v>
      </c>
      <c r="Y461" t="s">
        <v>23</v>
      </c>
    </row>
    <row r="462" spans="1:25" x14ac:dyDescent="0.3">
      <c r="A462" t="s">
        <v>491</v>
      </c>
      <c r="B462" t="s">
        <v>18</v>
      </c>
      <c r="C462">
        <f t="shared" si="56"/>
        <v>1</v>
      </c>
      <c r="D462" t="s">
        <v>25</v>
      </c>
      <c r="E462">
        <f t="shared" si="57"/>
        <v>1</v>
      </c>
      <c r="F462">
        <v>0</v>
      </c>
      <c r="G462" t="s">
        <v>20</v>
      </c>
      <c r="H462">
        <f t="shared" si="58"/>
        <v>1</v>
      </c>
      <c r="I462" t="s">
        <v>25</v>
      </c>
      <c r="J462">
        <f t="shared" si="59"/>
        <v>1</v>
      </c>
      <c r="K462">
        <v>2083</v>
      </c>
      <c r="L462">
        <v>4083</v>
      </c>
      <c r="M462">
        <v>160000</v>
      </c>
      <c r="N462">
        <v>360</v>
      </c>
      <c r="O462">
        <v>1</v>
      </c>
      <c r="P462" t="s">
        <v>35</v>
      </c>
      <c r="Q462">
        <f t="shared" si="60"/>
        <v>0</v>
      </c>
      <c r="R462">
        <f t="shared" si="61"/>
        <v>1</v>
      </c>
      <c r="S462">
        <f t="shared" si="62"/>
        <v>0</v>
      </c>
      <c r="T462" t="s">
        <v>22</v>
      </c>
      <c r="U462">
        <f t="shared" si="63"/>
        <v>1</v>
      </c>
      <c r="V462">
        <v>7.6420444028732577</v>
      </c>
      <c r="W462">
        <v>8.3148321792845561</v>
      </c>
      <c r="X462">
        <v>11.982929094215963</v>
      </c>
      <c r="Y462" t="s">
        <v>23</v>
      </c>
    </row>
    <row r="463" spans="1:25" x14ac:dyDescent="0.3">
      <c r="A463" t="s">
        <v>492</v>
      </c>
      <c r="B463" t="s">
        <v>18</v>
      </c>
      <c r="C463">
        <f t="shared" si="56"/>
        <v>1</v>
      </c>
      <c r="D463" t="s">
        <v>25</v>
      </c>
      <c r="E463">
        <f t="shared" si="57"/>
        <v>1</v>
      </c>
      <c r="F463">
        <v>3</v>
      </c>
      <c r="G463" t="s">
        <v>20</v>
      </c>
      <c r="H463">
        <f t="shared" si="58"/>
        <v>1</v>
      </c>
      <c r="I463" t="s">
        <v>19</v>
      </c>
      <c r="J463">
        <f t="shared" si="59"/>
        <v>0</v>
      </c>
      <c r="K463">
        <v>7740</v>
      </c>
      <c r="L463">
        <v>0</v>
      </c>
      <c r="M463">
        <v>128000</v>
      </c>
      <c r="N463">
        <v>180</v>
      </c>
      <c r="O463">
        <v>1</v>
      </c>
      <c r="P463" t="s">
        <v>21</v>
      </c>
      <c r="Q463">
        <f t="shared" si="60"/>
        <v>1</v>
      </c>
      <c r="R463">
        <f t="shared" si="61"/>
        <v>0</v>
      </c>
      <c r="S463">
        <f t="shared" si="62"/>
        <v>0</v>
      </c>
      <c r="T463" t="s">
        <v>22</v>
      </c>
      <c r="U463">
        <f t="shared" si="63"/>
        <v>1</v>
      </c>
      <c r="V463">
        <v>8.954286157204713</v>
      </c>
      <c r="W463">
        <v>0</v>
      </c>
      <c r="X463">
        <v>11.759785542901755</v>
      </c>
      <c r="Y463" t="s">
        <v>46</v>
      </c>
    </row>
    <row r="464" spans="1:25" x14ac:dyDescent="0.3">
      <c r="A464" t="s">
        <v>493</v>
      </c>
      <c r="B464" t="s">
        <v>18</v>
      </c>
      <c r="C464">
        <f t="shared" si="56"/>
        <v>1</v>
      </c>
      <c r="D464" t="s">
        <v>25</v>
      </c>
      <c r="E464">
        <f t="shared" si="57"/>
        <v>1</v>
      </c>
      <c r="F464">
        <v>0</v>
      </c>
      <c r="G464" t="s">
        <v>20</v>
      </c>
      <c r="H464">
        <f t="shared" si="58"/>
        <v>1</v>
      </c>
      <c r="I464" t="s">
        <v>19</v>
      </c>
      <c r="J464">
        <f t="shared" si="59"/>
        <v>0</v>
      </c>
      <c r="K464">
        <v>3015</v>
      </c>
      <c r="L464">
        <v>2188</v>
      </c>
      <c r="M464">
        <v>153000</v>
      </c>
      <c r="N464">
        <v>360</v>
      </c>
      <c r="O464">
        <v>1</v>
      </c>
      <c r="P464" t="s">
        <v>26</v>
      </c>
      <c r="Q464">
        <f t="shared" si="60"/>
        <v>0</v>
      </c>
      <c r="R464">
        <f t="shared" si="61"/>
        <v>0</v>
      </c>
      <c r="S464">
        <f t="shared" si="62"/>
        <v>1</v>
      </c>
      <c r="T464" t="s">
        <v>22</v>
      </c>
      <c r="U464">
        <f t="shared" si="63"/>
        <v>1</v>
      </c>
      <c r="V464">
        <v>8.0116867291278471</v>
      </c>
      <c r="W464">
        <v>7.6912000975228629</v>
      </c>
      <c r="X464">
        <v>11.938193200374572</v>
      </c>
      <c r="Y464" t="s">
        <v>23</v>
      </c>
    </row>
    <row r="465" spans="1:25" x14ac:dyDescent="0.3">
      <c r="A465" t="s">
        <v>494</v>
      </c>
      <c r="B465" t="s">
        <v>48</v>
      </c>
      <c r="C465">
        <f t="shared" si="56"/>
        <v>0</v>
      </c>
      <c r="D465" t="s">
        <v>19</v>
      </c>
      <c r="E465">
        <f t="shared" si="57"/>
        <v>0</v>
      </c>
      <c r="F465">
        <v>1</v>
      </c>
      <c r="G465" t="s">
        <v>30</v>
      </c>
      <c r="H465">
        <f t="shared" si="58"/>
        <v>0</v>
      </c>
      <c r="I465" t="s">
        <v>19</v>
      </c>
      <c r="J465">
        <f t="shared" si="59"/>
        <v>0</v>
      </c>
      <c r="K465">
        <v>5191</v>
      </c>
      <c r="L465">
        <v>0</v>
      </c>
      <c r="M465">
        <v>132000</v>
      </c>
      <c r="N465">
        <v>360</v>
      </c>
      <c r="O465">
        <v>1</v>
      </c>
      <c r="P465" t="s">
        <v>35</v>
      </c>
      <c r="Q465">
        <f t="shared" si="60"/>
        <v>0</v>
      </c>
      <c r="R465">
        <f t="shared" si="61"/>
        <v>1</v>
      </c>
      <c r="S465">
        <f t="shared" si="62"/>
        <v>0</v>
      </c>
      <c r="T465" t="s">
        <v>22</v>
      </c>
      <c r="U465">
        <f t="shared" si="63"/>
        <v>1</v>
      </c>
      <c r="V465">
        <v>8.5548742583839257</v>
      </c>
      <c r="W465">
        <v>0</v>
      </c>
      <c r="X465">
        <v>11.790557201568507</v>
      </c>
      <c r="Y465" t="s">
        <v>23</v>
      </c>
    </row>
    <row r="466" spans="1:25" x14ac:dyDescent="0.3">
      <c r="A466" t="s">
        <v>495</v>
      </c>
      <c r="B466" t="s">
        <v>18</v>
      </c>
      <c r="C466">
        <f t="shared" si="56"/>
        <v>1</v>
      </c>
      <c r="D466" t="s">
        <v>19</v>
      </c>
      <c r="E466">
        <f t="shared" si="57"/>
        <v>0</v>
      </c>
      <c r="F466">
        <v>0</v>
      </c>
      <c r="G466" t="s">
        <v>20</v>
      </c>
      <c r="H466">
        <f t="shared" si="58"/>
        <v>1</v>
      </c>
      <c r="I466" t="s">
        <v>19</v>
      </c>
      <c r="J466">
        <f t="shared" si="59"/>
        <v>0</v>
      </c>
      <c r="K466">
        <v>4166</v>
      </c>
      <c r="L466">
        <v>0</v>
      </c>
      <c r="M466">
        <v>98000</v>
      </c>
      <c r="N466">
        <v>360</v>
      </c>
      <c r="O466">
        <v>0</v>
      </c>
      <c r="P466" t="s">
        <v>35</v>
      </c>
      <c r="Q466">
        <f t="shared" si="60"/>
        <v>0</v>
      </c>
      <c r="R466">
        <f t="shared" si="61"/>
        <v>1</v>
      </c>
      <c r="S466">
        <f t="shared" si="62"/>
        <v>0</v>
      </c>
      <c r="T466" t="s">
        <v>27</v>
      </c>
      <c r="U466">
        <f t="shared" si="63"/>
        <v>0</v>
      </c>
      <c r="V466">
        <v>8.3349516314224541</v>
      </c>
      <c r="W466">
        <v>0</v>
      </c>
      <c r="X466">
        <v>11.492722757652709</v>
      </c>
      <c r="Y466" t="s">
        <v>23</v>
      </c>
    </row>
    <row r="467" spans="1:25" x14ac:dyDescent="0.3">
      <c r="A467" t="s">
        <v>496</v>
      </c>
      <c r="B467" t="s">
        <v>18</v>
      </c>
      <c r="C467">
        <f t="shared" si="56"/>
        <v>1</v>
      </c>
      <c r="D467" t="s">
        <v>19</v>
      </c>
      <c r="E467">
        <f t="shared" si="57"/>
        <v>0</v>
      </c>
      <c r="F467">
        <v>0</v>
      </c>
      <c r="G467" t="s">
        <v>20</v>
      </c>
      <c r="H467">
        <f t="shared" si="58"/>
        <v>1</v>
      </c>
      <c r="I467" t="s">
        <v>19</v>
      </c>
      <c r="J467">
        <f t="shared" si="59"/>
        <v>0</v>
      </c>
      <c r="K467">
        <v>6000</v>
      </c>
      <c r="L467">
        <v>0</v>
      </c>
      <c r="M467">
        <v>140000</v>
      </c>
      <c r="N467">
        <v>360</v>
      </c>
      <c r="O467">
        <v>1</v>
      </c>
      <c r="P467" t="s">
        <v>26</v>
      </c>
      <c r="Q467">
        <f t="shared" si="60"/>
        <v>0</v>
      </c>
      <c r="R467">
        <f t="shared" si="61"/>
        <v>0</v>
      </c>
      <c r="S467">
        <f t="shared" si="62"/>
        <v>1</v>
      </c>
      <c r="T467" t="s">
        <v>22</v>
      </c>
      <c r="U467">
        <f t="shared" si="63"/>
        <v>1</v>
      </c>
      <c r="V467">
        <v>8.6996814009895136</v>
      </c>
      <c r="W467">
        <v>0</v>
      </c>
      <c r="X467">
        <v>11.849397701591441</v>
      </c>
      <c r="Y467" t="s">
        <v>23</v>
      </c>
    </row>
    <row r="468" spans="1:25" x14ac:dyDescent="0.3">
      <c r="A468" t="s">
        <v>497</v>
      </c>
      <c r="B468" t="s">
        <v>18</v>
      </c>
      <c r="C468">
        <f t="shared" si="56"/>
        <v>1</v>
      </c>
      <c r="D468" t="s">
        <v>25</v>
      </c>
      <c r="E468">
        <f t="shared" si="57"/>
        <v>1</v>
      </c>
      <c r="F468">
        <v>3</v>
      </c>
      <c r="G468" t="s">
        <v>30</v>
      </c>
      <c r="H468">
        <f t="shared" si="58"/>
        <v>0</v>
      </c>
      <c r="I468" t="s">
        <v>19</v>
      </c>
      <c r="J468">
        <f t="shared" si="59"/>
        <v>0</v>
      </c>
      <c r="K468">
        <v>2947</v>
      </c>
      <c r="L468">
        <v>1664</v>
      </c>
      <c r="M468">
        <v>70000</v>
      </c>
      <c r="N468">
        <v>180</v>
      </c>
      <c r="O468">
        <v>0</v>
      </c>
      <c r="P468" t="s">
        <v>21</v>
      </c>
      <c r="Q468">
        <f t="shared" si="60"/>
        <v>1</v>
      </c>
      <c r="R468">
        <f t="shared" si="61"/>
        <v>0</v>
      </c>
      <c r="S468">
        <f t="shared" si="62"/>
        <v>0</v>
      </c>
      <c r="T468" t="s">
        <v>27</v>
      </c>
      <c r="U468">
        <f t="shared" si="63"/>
        <v>0</v>
      </c>
      <c r="V468">
        <v>7.9888822533092272</v>
      </c>
      <c r="W468">
        <v>7.4175804024145444</v>
      </c>
      <c r="X468">
        <v>11.156250521031495</v>
      </c>
      <c r="Y468" t="s">
        <v>46</v>
      </c>
    </row>
    <row r="469" spans="1:25" x14ac:dyDescent="0.3">
      <c r="A469" t="s">
        <v>498</v>
      </c>
      <c r="B469" t="s">
        <v>18</v>
      </c>
      <c r="C469">
        <f t="shared" si="56"/>
        <v>1</v>
      </c>
      <c r="D469" t="s">
        <v>25</v>
      </c>
      <c r="E469">
        <f t="shared" si="57"/>
        <v>1</v>
      </c>
      <c r="F469">
        <v>0</v>
      </c>
      <c r="G469" t="s">
        <v>20</v>
      </c>
      <c r="H469">
        <f t="shared" si="58"/>
        <v>1</v>
      </c>
      <c r="I469" t="s">
        <v>19</v>
      </c>
      <c r="J469">
        <f t="shared" si="59"/>
        <v>0</v>
      </c>
      <c r="K469">
        <v>16692</v>
      </c>
      <c r="L469">
        <v>0</v>
      </c>
      <c r="M469">
        <v>110000</v>
      </c>
      <c r="N469">
        <v>360</v>
      </c>
      <c r="O469">
        <v>1</v>
      </c>
      <c r="P469" t="s">
        <v>35</v>
      </c>
      <c r="Q469">
        <f t="shared" si="60"/>
        <v>0</v>
      </c>
      <c r="R469">
        <f t="shared" si="61"/>
        <v>1</v>
      </c>
      <c r="S469">
        <f t="shared" si="62"/>
        <v>0</v>
      </c>
      <c r="T469" t="s">
        <v>22</v>
      </c>
      <c r="U469">
        <f t="shared" si="63"/>
        <v>1</v>
      </c>
      <c r="V469">
        <v>9.7227447488553889</v>
      </c>
      <c r="W469">
        <v>0</v>
      </c>
      <c r="X469">
        <v>11.608235644774552</v>
      </c>
      <c r="Y469" t="s">
        <v>23</v>
      </c>
    </row>
    <row r="470" spans="1:25" x14ac:dyDescent="0.3">
      <c r="A470" t="s">
        <v>499</v>
      </c>
      <c r="B470" t="s">
        <v>48</v>
      </c>
      <c r="C470">
        <f t="shared" si="56"/>
        <v>0</v>
      </c>
      <c r="D470" t="s">
        <v>25</v>
      </c>
      <c r="E470">
        <f t="shared" si="57"/>
        <v>1</v>
      </c>
      <c r="F470">
        <v>2</v>
      </c>
      <c r="G470" t="s">
        <v>30</v>
      </c>
      <c r="H470">
        <f t="shared" si="58"/>
        <v>0</v>
      </c>
      <c r="I470" t="s">
        <v>19</v>
      </c>
      <c r="J470">
        <f t="shared" si="59"/>
        <v>0</v>
      </c>
      <c r="K470">
        <v>210</v>
      </c>
      <c r="L470">
        <v>2917</v>
      </c>
      <c r="M470">
        <v>98000</v>
      </c>
      <c r="N470">
        <v>360</v>
      </c>
      <c r="O470">
        <v>1</v>
      </c>
      <c r="P470" t="s">
        <v>35</v>
      </c>
      <c r="Q470">
        <f t="shared" si="60"/>
        <v>0</v>
      </c>
      <c r="R470">
        <f t="shared" si="61"/>
        <v>1</v>
      </c>
      <c r="S470">
        <f t="shared" si="62"/>
        <v>0</v>
      </c>
      <c r="T470" t="s">
        <v>22</v>
      </c>
      <c r="U470">
        <f t="shared" si="63"/>
        <v>1</v>
      </c>
      <c r="V470">
        <v>5.3518581334760666</v>
      </c>
      <c r="W470">
        <v>7.9786537290827306</v>
      </c>
      <c r="X470">
        <v>11.492722757652709</v>
      </c>
      <c r="Y470" t="s">
        <v>23</v>
      </c>
    </row>
    <row r="471" spans="1:25" x14ac:dyDescent="0.3">
      <c r="A471" t="s">
        <v>500</v>
      </c>
      <c r="B471" t="s">
        <v>18</v>
      </c>
      <c r="C471">
        <f t="shared" si="56"/>
        <v>1</v>
      </c>
      <c r="D471" t="s">
        <v>25</v>
      </c>
      <c r="E471">
        <f t="shared" si="57"/>
        <v>1</v>
      </c>
      <c r="F471">
        <v>0</v>
      </c>
      <c r="G471" t="s">
        <v>20</v>
      </c>
      <c r="H471">
        <f t="shared" si="58"/>
        <v>1</v>
      </c>
      <c r="I471" t="s">
        <v>19</v>
      </c>
      <c r="J471">
        <f t="shared" si="59"/>
        <v>0</v>
      </c>
      <c r="K471">
        <v>4333</v>
      </c>
      <c r="L471">
        <v>2451</v>
      </c>
      <c r="M471">
        <v>110000</v>
      </c>
      <c r="N471">
        <v>360</v>
      </c>
      <c r="O471">
        <v>1</v>
      </c>
      <c r="P471" t="s">
        <v>21</v>
      </c>
      <c r="Q471">
        <f t="shared" si="60"/>
        <v>1</v>
      </c>
      <c r="R471">
        <f t="shared" si="61"/>
        <v>0</v>
      </c>
      <c r="S471">
        <f t="shared" si="62"/>
        <v>0</v>
      </c>
      <c r="T471" t="s">
        <v>27</v>
      </c>
      <c r="U471">
        <f t="shared" si="63"/>
        <v>0</v>
      </c>
      <c r="V471">
        <v>8.3742461820963037</v>
      </c>
      <c r="W471">
        <v>7.8046592970561024</v>
      </c>
      <c r="X471">
        <v>11.608235644774552</v>
      </c>
      <c r="Y471" t="s">
        <v>23</v>
      </c>
    </row>
    <row r="472" spans="1:25" x14ac:dyDescent="0.3">
      <c r="A472" t="s">
        <v>501</v>
      </c>
      <c r="B472" t="s">
        <v>18</v>
      </c>
      <c r="C472">
        <f t="shared" si="56"/>
        <v>1</v>
      </c>
      <c r="D472" t="s">
        <v>25</v>
      </c>
      <c r="E472">
        <f t="shared" si="57"/>
        <v>1</v>
      </c>
      <c r="F472">
        <v>1</v>
      </c>
      <c r="G472" t="s">
        <v>20</v>
      </c>
      <c r="H472">
        <f t="shared" si="58"/>
        <v>1</v>
      </c>
      <c r="I472" t="s">
        <v>25</v>
      </c>
      <c r="J472">
        <f t="shared" si="59"/>
        <v>1</v>
      </c>
      <c r="K472">
        <v>3450</v>
      </c>
      <c r="L472">
        <v>2079</v>
      </c>
      <c r="M472">
        <v>162000</v>
      </c>
      <c r="N472">
        <v>360</v>
      </c>
      <c r="O472">
        <v>1</v>
      </c>
      <c r="P472" t="s">
        <v>35</v>
      </c>
      <c r="Q472">
        <f t="shared" si="60"/>
        <v>0</v>
      </c>
      <c r="R472">
        <f t="shared" si="61"/>
        <v>1</v>
      </c>
      <c r="S472">
        <f t="shared" si="62"/>
        <v>0</v>
      </c>
      <c r="T472" t="s">
        <v>22</v>
      </c>
      <c r="U472">
        <f t="shared" si="63"/>
        <v>1</v>
      </c>
      <c r="V472">
        <v>8.1464193230980033</v>
      </c>
      <c r="W472">
        <v>7.6401231726953638</v>
      </c>
      <c r="X472">
        <v>11.99535161421452</v>
      </c>
      <c r="Y472" t="s">
        <v>23</v>
      </c>
    </row>
    <row r="473" spans="1:25" x14ac:dyDescent="0.3">
      <c r="A473" t="s">
        <v>502</v>
      </c>
      <c r="B473" t="s">
        <v>18</v>
      </c>
      <c r="C473">
        <f t="shared" si="56"/>
        <v>1</v>
      </c>
      <c r="D473" t="s">
        <v>25</v>
      </c>
      <c r="E473">
        <f t="shared" si="57"/>
        <v>1</v>
      </c>
      <c r="F473">
        <v>1</v>
      </c>
      <c r="G473" t="s">
        <v>30</v>
      </c>
      <c r="H473">
        <f t="shared" si="58"/>
        <v>0</v>
      </c>
      <c r="I473" t="s">
        <v>19</v>
      </c>
      <c r="J473">
        <f t="shared" si="59"/>
        <v>0</v>
      </c>
      <c r="K473">
        <v>2653</v>
      </c>
      <c r="L473">
        <v>1500</v>
      </c>
      <c r="M473">
        <v>113000</v>
      </c>
      <c r="N473">
        <v>180</v>
      </c>
      <c r="O473">
        <v>0</v>
      </c>
      <c r="P473" t="s">
        <v>26</v>
      </c>
      <c r="Q473">
        <f t="shared" si="60"/>
        <v>0</v>
      </c>
      <c r="R473">
        <f t="shared" si="61"/>
        <v>0</v>
      </c>
      <c r="S473">
        <f t="shared" si="62"/>
        <v>1</v>
      </c>
      <c r="T473" t="s">
        <v>27</v>
      </c>
      <c r="U473">
        <f t="shared" si="63"/>
        <v>0</v>
      </c>
      <c r="V473">
        <v>7.8838232148921534</v>
      </c>
      <c r="W473">
        <v>7.3138868316334618</v>
      </c>
      <c r="X473">
        <v>11.635143097694478</v>
      </c>
      <c r="Y473" t="s">
        <v>46</v>
      </c>
    </row>
    <row r="474" spans="1:25" x14ac:dyDescent="0.3">
      <c r="A474" t="s">
        <v>503</v>
      </c>
      <c r="B474" t="s">
        <v>18</v>
      </c>
      <c r="C474">
        <f t="shared" si="56"/>
        <v>1</v>
      </c>
      <c r="D474" t="s">
        <v>25</v>
      </c>
      <c r="E474">
        <f t="shared" si="57"/>
        <v>1</v>
      </c>
      <c r="F474">
        <v>3</v>
      </c>
      <c r="G474" t="s">
        <v>20</v>
      </c>
      <c r="H474">
        <f t="shared" si="58"/>
        <v>1</v>
      </c>
      <c r="I474" t="s">
        <v>19</v>
      </c>
      <c r="J474">
        <f t="shared" si="59"/>
        <v>0</v>
      </c>
      <c r="K474">
        <v>4691</v>
      </c>
      <c r="L474">
        <v>0</v>
      </c>
      <c r="M474">
        <v>100000</v>
      </c>
      <c r="N474">
        <v>360</v>
      </c>
      <c r="O474">
        <v>1</v>
      </c>
      <c r="P474" t="s">
        <v>35</v>
      </c>
      <c r="Q474">
        <f t="shared" si="60"/>
        <v>0</v>
      </c>
      <c r="R474">
        <f t="shared" si="61"/>
        <v>1</v>
      </c>
      <c r="S474">
        <f t="shared" si="62"/>
        <v>0</v>
      </c>
      <c r="T474" t="s">
        <v>22</v>
      </c>
      <c r="U474">
        <f t="shared" si="63"/>
        <v>1</v>
      </c>
      <c r="V474">
        <v>8.4536142097733666</v>
      </c>
      <c r="W474">
        <v>0</v>
      </c>
      <c r="X474">
        <v>11.512925464970229</v>
      </c>
      <c r="Y474" t="s">
        <v>23</v>
      </c>
    </row>
    <row r="475" spans="1:25" x14ac:dyDescent="0.3">
      <c r="A475" t="s">
        <v>504</v>
      </c>
      <c r="B475" t="s">
        <v>48</v>
      </c>
      <c r="C475">
        <f t="shared" si="56"/>
        <v>0</v>
      </c>
      <c r="D475" t="s">
        <v>19</v>
      </c>
      <c r="E475">
        <f t="shared" si="57"/>
        <v>0</v>
      </c>
      <c r="F475">
        <v>0</v>
      </c>
      <c r="G475" t="s">
        <v>20</v>
      </c>
      <c r="H475">
        <f t="shared" si="58"/>
        <v>1</v>
      </c>
      <c r="I475" t="s">
        <v>25</v>
      </c>
      <c r="J475">
        <f t="shared" si="59"/>
        <v>1</v>
      </c>
      <c r="K475">
        <v>2500</v>
      </c>
      <c r="L475">
        <v>0</v>
      </c>
      <c r="M475">
        <v>93000</v>
      </c>
      <c r="N475">
        <v>360</v>
      </c>
      <c r="O475">
        <v>1</v>
      </c>
      <c r="P475" t="s">
        <v>21</v>
      </c>
      <c r="Q475">
        <f t="shared" si="60"/>
        <v>1</v>
      </c>
      <c r="R475">
        <f t="shared" si="61"/>
        <v>0</v>
      </c>
      <c r="S475">
        <f t="shared" si="62"/>
        <v>0</v>
      </c>
      <c r="T475" t="s">
        <v>22</v>
      </c>
      <c r="U475">
        <f t="shared" si="63"/>
        <v>1</v>
      </c>
      <c r="V475">
        <v>7.8244459308776193</v>
      </c>
      <c r="W475">
        <v>0</v>
      </c>
      <c r="X475">
        <v>11.440354772135393</v>
      </c>
      <c r="Y475" t="s">
        <v>23</v>
      </c>
    </row>
    <row r="476" spans="1:25" x14ac:dyDescent="0.3">
      <c r="A476" t="s">
        <v>505</v>
      </c>
      <c r="B476" t="s">
        <v>18</v>
      </c>
      <c r="C476">
        <f t="shared" si="56"/>
        <v>1</v>
      </c>
      <c r="D476" t="s">
        <v>19</v>
      </c>
      <c r="E476">
        <f t="shared" si="57"/>
        <v>0</v>
      </c>
      <c r="F476">
        <v>2</v>
      </c>
      <c r="G476" t="s">
        <v>20</v>
      </c>
      <c r="H476">
        <f t="shared" si="58"/>
        <v>1</v>
      </c>
      <c r="I476" t="s">
        <v>19</v>
      </c>
      <c r="J476">
        <f t="shared" si="59"/>
        <v>0</v>
      </c>
      <c r="K476">
        <v>5532</v>
      </c>
      <c r="L476">
        <v>4648</v>
      </c>
      <c r="M476">
        <v>162000</v>
      </c>
      <c r="N476">
        <v>360</v>
      </c>
      <c r="O476">
        <v>1</v>
      </c>
      <c r="P476" t="s">
        <v>26</v>
      </c>
      <c r="Q476">
        <f t="shared" si="60"/>
        <v>0</v>
      </c>
      <c r="R476">
        <f t="shared" si="61"/>
        <v>0</v>
      </c>
      <c r="S476">
        <f t="shared" si="62"/>
        <v>1</v>
      </c>
      <c r="T476" t="s">
        <v>22</v>
      </c>
      <c r="U476">
        <f t="shared" si="63"/>
        <v>1</v>
      </c>
      <c r="V476">
        <v>8.618485442898109</v>
      </c>
      <c r="W476">
        <v>8.4444074216905847</v>
      </c>
      <c r="X476">
        <v>11.99535161421452</v>
      </c>
      <c r="Y476" t="s">
        <v>23</v>
      </c>
    </row>
    <row r="477" spans="1:25" x14ac:dyDescent="0.3">
      <c r="A477" t="s">
        <v>506</v>
      </c>
      <c r="B477" t="s">
        <v>18</v>
      </c>
      <c r="C477">
        <f t="shared" si="56"/>
        <v>1</v>
      </c>
      <c r="D477" t="s">
        <v>25</v>
      </c>
      <c r="E477">
        <f t="shared" si="57"/>
        <v>1</v>
      </c>
      <c r="F477">
        <v>2</v>
      </c>
      <c r="G477" t="s">
        <v>20</v>
      </c>
      <c r="H477">
        <f t="shared" si="58"/>
        <v>1</v>
      </c>
      <c r="I477" t="s">
        <v>25</v>
      </c>
      <c r="J477">
        <f t="shared" si="59"/>
        <v>1</v>
      </c>
      <c r="K477">
        <v>16525</v>
      </c>
      <c r="L477">
        <v>1014</v>
      </c>
      <c r="M477">
        <v>150000</v>
      </c>
      <c r="N477">
        <v>360</v>
      </c>
      <c r="O477">
        <v>1</v>
      </c>
      <c r="P477" t="s">
        <v>26</v>
      </c>
      <c r="Q477">
        <f t="shared" si="60"/>
        <v>0</v>
      </c>
      <c r="R477">
        <f t="shared" si="61"/>
        <v>0</v>
      </c>
      <c r="S477">
        <f t="shared" si="62"/>
        <v>1</v>
      </c>
      <c r="T477" t="s">
        <v>22</v>
      </c>
      <c r="U477">
        <f t="shared" si="63"/>
        <v>1</v>
      </c>
      <c r="V477">
        <v>9.7126901772611305</v>
      </c>
      <c r="W477">
        <v>6.9226438914758877</v>
      </c>
      <c r="X477">
        <v>11.918390573078392</v>
      </c>
      <c r="Y477" t="s">
        <v>23</v>
      </c>
    </row>
    <row r="478" spans="1:25" x14ac:dyDescent="0.3">
      <c r="A478" t="s">
        <v>507</v>
      </c>
      <c r="B478" t="s">
        <v>18</v>
      </c>
      <c r="C478">
        <f t="shared" si="56"/>
        <v>1</v>
      </c>
      <c r="D478" t="s">
        <v>25</v>
      </c>
      <c r="E478">
        <f t="shared" si="57"/>
        <v>1</v>
      </c>
      <c r="F478">
        <v>2</v>
      </c>
      <c r="G478" t="s">
        <v>20</v>
      </c>
      <c r="H478">
        <f t="shared" si="58"/>
        <v>1</v>
      </c>
      <c r="I478" t="s">
        <v>19</v>
      </c>
      <c r="J478">
        <f t="shared" si="59"/>
        <v>0</v>
      </c>
      <c r="K478">
        <v>6700</v>
      </c>
      <c r="L478">
        <v>1750</v>
      </c>
      <c r="M478">
        <v>230000</v>
      </c>
      <c r="N478">
        <v>300</v>
      </c>
      <c r="O478">
        <v>1</v>
      </c>
      <c r="P478" t="s">
        <v>35</v>
      </c>
      <c r="Q478">
        <f t="shared" si="60"/>
        <v>0</v>
      </c>
      <c r="R478">
        <f t="shared" si="61"/>
        <v>1</v>
      </c>
      <c r="S478">
        <f t="shared" si="62"/>
        <v>0</v>
      </c>
      <c r="T478" t="s">
        <v>22</v>
      </c>
      <c r="U478">
        <f t="shared" si="63"/>
        <v>1</v>
      </c>
      <c r="V478">
        <v>8.8100120479731707</v>
      </c>
      <c r="W478">
        <v>7.467942332285852</v>
      </c>
      <c r="X478">
        <v>12.345834587905333</v>
      </c>
      <c r="Y478" t="s">
        <v>46</v>
      </c>
    </row>
    <row r="479" spans="1:25" x14ac:dyDescent="0.3">
      <c r="A479" t="s">
        <v>508</v>
      </c>
      <c r="B479" t="s">
        <v>18</v>
      </c>
      <c r="C479">
        <f t="shared" si="56"/>
        <v>1</v>
      </c>
      <c r="D479" t="s">
        <v>25</v>
      </c>
      <c r="E479">
        <f t="shared" si="57"/>
        <v>1</v>
      </c>
      <c r="F479">
        <v>2</v>
      </c>
      <c r="G479" t="s">
        <v>20</v>
      </c>
      <c r="H479">
        <f t="shared" si="58"/>
        <v>1</v>
      </c>
      <c r="I479" t="s">
        <v>19</v>
      </c>
      <c r="J479">
        <f t="shared" si="59"/>
        <v>0</v>
      </c>
      <c r="K479">
        <v>2873</v>
      </c>
      <c r="L479">
        <v>1872</v>
      </c>
      <c r="M479">
        <v>132000</v>
      </c>
      <c r="N479">
        <v>360</v>
      </c>
      <c r="O479">
        <v>0</v>
      </c>
      <c r="P479" t="s">
        <v>35</v>
      </c>
      <c r="Q479">
        <f t="shared" si="60"/>
        <v>0</v>
      </c>
      <c r="R479">
        <f t="shared" si="61"/>
        <v>1</v>
      </c>
      <c r="S479">
        <f t="shared" si="62"/>
        <v>0</v>
      </c>
      <c r="T479" t="s">
        <v>27</v>
      </c>
      <c r="U479">
        <f t="shared" si="63"/>
        <v>0</v>
      </c>
      <c r="V479">
        <v>7.9634600666389703</v>
      </c>
      <c r="W479">
        <v>7.5352967024440876</v>
      </c>
      <c r="X479">
        <v>11.790557201568507</v>
      </c>
      <c r="Y479" t="s">
        <v>23</v>
      </c>
    </row>
    <row r="480" spans="1:25" x14ac:dyDescent="0.3">
      <c r="A480" t="s">
        <v>509</v>
      </c>
      <c r="B480" t="s">
        <v>18</v>
      </c>
      <c r="C480">
        <f t="shared" si="56"/>
        <v>1</v>
      </c>
      <c r="D480" t="s">
        <v>25</v>
      </c>
      <c r="E480">
        <f t="shared" si="57"/>
        <v>1</v>
      </c>
      <c r="F480">
        <v>1</v>
      </c>
      <c r="G480" t="s">
        <v>20</v>
      </c>
      <c r="H480">
        <f t="shared" si="58"/>
        <v>1</v>
      </c>
      <c r="I480" t="s">
        <v>25</v>
      </c>
      <c r="J480">
        <f t="shared" si="59"/>
        <v>1</v>
      </c>
      <c r="K480">
        <v>16667</v>
      </c>
      <c r="L480">
        <v>2250</v>
      </c>
      <c r="M480">
        <v>86000</v>
      </c>
      <c r="N480">
        <v>360</v>
      </c>
      <c r="O480">
        <v>1</v>
      </c>
      <c r="P480" t="s">
        <v>35</v>
      </c>
      <c r="Q480">
        <f t="shared" si="60"/>
        <v>0</v>
      </c>
      <c r="R480">
        <f t="shared" si="61"/>
        <v>1</v>
      </c>
      <c r="S480">
        <f t="shared" si="62"/>
        <v>0</v>
      </c>
      <c r="T480" t="s">
        <v>22</v>
      </c>
      <c r="U480">
        <f t="shared" si="63"/>
        <v>1</v>
      </c>
      <c r="V480">
        <v>9.7212459925423449</v>
      </c>
      <c r="W480">
        <v>7.7191298409067324</v>
      </c>
      <c r="X480">
        <v>11.362102575235644</v>
      </c>
      <c r="Y480" t="s">
        <v>23</v>
      </c>
    </row>
    <row r="481" spans="1:25" x14ac:dyDescent="0.3">
      <c r="A481" t="s">
        <v>510</v>
      </c>
      <c r="B481" t="s">
        <v>18</v>
      </c>
      <c r="C481">
        <f t="shared" si="56"/>
        <v>1</v>
      </c>
      <c r="D481" t="s">
        <v>25</v>
      </c>
      <c r="E481">
        <f t="shared" si="57"/>
        <v>1</v>
      </c>
      <c r="F481">
        <v>2</v>
      </c>
      <c r="G481" t="s">
        <v>20</v>
      </c>
      <c r="H481">
        <f t="shared" si="58"/>
        <v>1</v>
      </c>
      <c r="I481" t="s">
        <v>19</v>
      </c>
      <c r="J481">
        <f t="shared" si="59"/>
        <v>0</v>
      </c>
      <c r="K481">
        <v>2947</v>
      </c>
      <c r="L481">
        <v>1603</v>
      </c>
      <c r="M481">
        <v>128000</v>
      </c>
      <c r="N481">
        <v>360</v>
      </c>
      <c r="O481">
        <v>1</v>
      </c>
      <c r="P481" t="s">
        <v>21</v>
      </c>
      <c r="Q481">
        <f t="shared" si="60"/>
        <v>1</v>
      </c>
      <c r="R481">
        <f t="shared" si="61"/>
        <v>0</v>
      </c>
      <c r="S481">
        <f t="shared" si="62"/>
        <v>0</v>
      </c>
      <c r="T481" t="s">
        <v>27</v>
      </c>
      <c r="U481">
        <f t="shared" si="63"/>
        <v>0</v>
      </c>
      <c r="V481">
        <v>7.9888822533092272</v>
      </c>
      <c r="W481">
        <v>7.3802557884264601</v>
      </c>
      <c r="X481">
        <v>11.759785542901755</v>
      </c>
      <c r="Y481" t="s">
        <v>23</v>
      </c>
    </row>
    <row r="482" spans="1:25" x14ac:dyDescent="0.3">
      <c r="A482" t="s">
        <v>511</v>
      </c>
      <c r="B482" t="s">
        <v>48</v>
      </c>
      <c r="C482">
        <f t="shared" si="56"/>
        <v>0</v>
      </c>
      <c r="D482" t="s">
        <v>19</v>
      </c>
      <c r="E482">
        <f t="shared" si="57"/>
        <v>0</v>
      </c>
      <c r="F482">
        <v>0</v>
      </c>
      <c r="G482" t="s">
        <v>30</v>
      </c>
      <c r="H482">
        <f t="shared" si="58"/>
        <v>0</v>
      </c>
      <c r="I482" t="s">
        <v>19</v>
      </c>
      <c r="J482">
        <f t="shared" si="59"/>
        <v>0</v>
      </c>
      <c r="K482">
        <v>4350</v>
      </c>
      <c r="L482">
        <v>0</v>
      </c>
      <c r="M482">
        <v>154000</v>
      </c>
      <c r="N482">
        <v>360</v>
      </c>
      <c r="O482">
        <v>1</v>
      </c>
      <c r="P482" t="s">
        <v>26</v>
      </c>
      <c r="Q482">
        <f t="shared" si="60"/>
        <v>0</v>
      </c>
      <c r="R482">
        <f t="shared" si="61"/>
        <v>0</v>
      </c>
      <c r="S482">
        <f t="shared" si="62"/>
        <v>1</v>
      </c>
      <c r="T482" t="s">
        <v>22</v>
      </c>
      <c r="U482">
        <f t="shared" si="63"/>
        <v>1</v>
      </c>
      <c r="V482">
        <v>8.3781609827206793</v>
      </c>
      <c r="W482">
        <v>0</v>
      </c>
      <c r="X482">
        <v>11.944707881395766</v>
      </c>
      <c r="Y482" t="s">
        <v>23</v>
      </c>
    </row>
    <row r="483" spans="1:25" x14ac:dyDescent="0.3">
      <c r="A483" t="s">
        <v>512</v>
      </c>
      <c r="B483" t="s">
        <v>18</v>
      </c>
      <c r="C483">
        <f t="shared" si="56"/>
        <v>1</v>
      </c>
      <c r="D483" t="s">
        <v>25</v>
      </c>
      <c r="E483">
        <f t="shared" si="57"/>
        <v>1</v>
      </c>
      <c r="F483">
        <v>3</v>
      </c>
      <c r="G483" t="s">
        <v>30</v>
      </c>
      <c r="H483">
        <f t="shared" si="58"/>
        <v>0</v>
      </c>
      <c r="I483" t="s">
        <v>19</v>
      </c>
      <c r="J483">
        <f t="shared" si="59"/>
        <v>0</v>
      </c>
      <c r="K483">
        <v>3095</v>
      </c>
      <c r="L483">
        <v>0</v>
      </c>
      <c r="M483">
        <v>113000</v>
      </c>
      <c r="N483">
        <v>360</v>
      </c>
      <c r="O483">
        <v>1</v>
      </c>
      <c r="P483" t="s">
        <v>26</v>
      </c>
      <c r="Q483">
        <f t="shared" si="60"/>
        <v>0</v>
      </c>
      <c r="R483">
        <f t="shared" si="61"/>
        <v>0</v>
      </c>
      <c r="S483">
        <f t="shared" si="62"/>
        <v>1</v>
      </c>
      <c r="T483" t="s">
        <v>22</v>
      </c>
      <c r="U483">
        <f t="shared" si="63"/>
        <v>1</v>
      </c>
      <c r="V483">
        <v>8.0378662347096181</v>
      </c>
      <c r="W483">
        <v>0</v>
      </c>
      <c r="X483">
        <v>11.635143097694478</v>
      </c>
      <c r="Y483" t="s">
        <v>23</v>
      </c>
    </row>
    <row r="484" spans="1:25" x14ac:dyDescent="0.3">
      <c r="A484" t="s">
        <v>513</v>
      </c>
      <c r="B484" t="s">
        <v>18</v>
      </c>
      <c r="C484">
        <f t="shared" si="56"/>
        <v>1</v>
      </c>
      <c r="D484" t="s">
        <v>25</v>
      </c>
      <c r="E484">
        <f t="shared" si="57"/>
        <v>1</v>
      </c>
      <c r="F484">
        <v>0</v>
      </c>
      <c r="G484" t="s">
        <v>20</v>
      </c>
      <c r="H484">
        <f t="shared" si="58"/>
        <v>1</v>
      </c>
      <c r="I484" t="s">
        <v>19</v>
      </c>
      <c r="J484">
        <f t="shared" si="59"/>
        <v>0</v>
      </c>
      <c r="K484">
        <v>2083</v>
      </c>
      <c r="L484">
        <v>3150</v>
      </c>
      <c r="M484">
        <v>128000</v>
      </c>
      <c r="N484">
        <v>360</v>
      </c>
      <c r="O484">
        <v>1</v>
      </c>
      <c r="P484" t="s">
        <v>35</v>
      </c>
      <c r="Q484">
        <f t="shared" si="60"/>
        <v>0</v>
      </c>
      <c r="R484">
        <f t="shared" si="61"/>
        <v>1</v>
      </c>
      <c r="S484">
        <f t="shared" si="62"/>
        <v>0</v>
      </c>
      <c r="T484" t="s">
        <v>22</v>
      </c>
      <c r="U484">
        <f t="shared" si="63"/>
        <v>1</v>
      </c>
      <c r="V484">
        <v>7.6420444028732577</v>
      </c>
      <c r="W484">
        <v>8.0554751417572739</v>
      </c>
      <c r="X484">
        <v>11.759785542901755</v>
      </c>
      <c r="Y484" t="s">
        <v>23</v>
      </c>
    </row>
    <row r="485" spans="1:25" x14ac:dyDescent="0.3">
      <c r="A485" t="s">
        <v>514</v>
      </c>
      <c r="B485" t="s">
        <v>18</v>
      </c>
      <c r="C485">
        <f t="shared" si="56"/>
        <v>1</v>
      </c>
      <c r="D485" t="s">
        <v>25</v>
      </c>
      <c r="E485">
        <f t="shared" si="57"/>
        <v>1</v>
      </c>
      <c r="F485">
        <v>0</v>
      </c>
      <c r="G485" t="s">
        <v>20</v>
      </c>
      <c r="H485">
        <f t="shared" si="58"/>
        <v>1</v>
      </c>
      <c r="I485" t="s">
        <v>19</v>
      </c>
      <c r="J485">
        <f t="shared" si="59"/>
        <v>0</v>
      </c>
      <c r="K485">
        <v>10833</v>
      </c>
      <c r="L485">
        <v>0</v>
      </c>
      <c r="M485">
        <v>234000</v>
      </c>
      <c r="N485">
        <v>360</v>
      </c>
      <c r="O485">
        <v>1</v>
      </c>
      <c r="P485" t="s">
        <v>35</v>
      </c>
      <c r="Q485">
        <f t="shared" si="60"/>
        <v>0</v>
      </c>
      <c r="R485">
        <f t="shared" si="61"/>
        <v>1</v>
      </c>
      <c r="S485">
        <f t="shared" si="62"/>
        <v>0</v>
      </c>
      <c r="T485" t="s">
        <v>22</v>
      </c>
      <c r="U485">
        <f t="shared" si="63"/>
        <v>1</v>
      </c>
      <c r="V485">
        <v>9.2904446162178438</v>
      </c>
      <c r="W485">
        <v>0</v>
      </c>
      <c r="X485">
        <v>12.363076394339839</v>
      </c>
      <c r="Y485" t="s">
        <v>23</v>
      </c>
    </row>
    <row r="486" spans="1:25" x14ac:dyDescent="0.3">
      <c r="A486" t="s">
        <v>515</v>
      </c>
      <c r="B486" t="s">
        <v>18</v>
      </c>
      <c r="C486">
        <f t="shared" si="56"/>
        <v>1</v>
      </c>
      <c r="D486" t="s">
        <v>25</v>
      </c>
      <c r="E486">
        <f t="shared" si="57"/>
        <v>1</v>
      </c>
      <c r="F486">
        <v>2</v>
      </c>
      <c r="G486" t="s">
        <v>20</v>
      </c>
      <c r="H486">
        <f t="shared" si="58"/>
        <v>1</v>
      </c>
      <c r="I486" t="s">
        <v>19</v>
      </c>
      <c r="J486">
        <f t="shared" si="59"/>
        <v>0</v>
      </c>
      <c r="K486">
        <v>8333</v>
      </c>
      <c r="L486">
        <v>0</v>
      </c>
      <c r="M486">
        <v>246000</v>
      </c>
      <c r="N486">
        <v>360</v>
      </c>
      <c r="O486">
        <v>1</v>
      </c>
      <c r="P486" t="s">
        <v>35</v>
      </c>
      <c r="Q486">
        <f t="shared" si="60"/>
        <v>0</v>
      </c>
      <c r="R486">
        <f t="shared" si="61"/>
        <v>1</v>
      </c>
      <c r="S486">
        <f t="shared" si="62"/>
        <v>0</v>
      </c>
      <c r="T486" t="s">
        <v>22</v>
      </c>
      <c r="U486">
        <f t="shared" si="63"/>
        <v>1</v>
      </c>
      <c r="V486">
        <v>9.0280988119823995</v>
      </c>
      <c r="W486">
        <v>0</v>
      </c>
      <c r="X486">
        <v>12.4130868149145</v>
      </c>
      <c r="Y486" t="s">
        <v>23</v>
      </c>
    </row>
    <row r="487" spans="1:25" x14ac:dyDescent="0.3">
      <c r="A487" t="s">
        <v>516</v>
      </c>
      <c r="B487" t="s">
        <v>18</v>
      </c>
      <c r="C487">
        <f t="shared" si="56"/>
        <v>1</v>
      </c>
      <c r="D487" t="s">
        <v>25</v>
      </c>
      <c r="E487">
        <f t="shared" si="57"/>
        <v>1</v>
      </c>
      <c r="F487">
        <v>1</v>
      </c>
      <c r="G487" t="s">
        <v>30</v>
      </c>
      <c r="H487">
        <f t="shared" si="58"/>
        <v>0</v>
      </c>
      <c r="I487" t="s">
        <v>19</v>
      </c>
      <c r="J487">
        <f t="shared" si="59"/>
        <v>0</v>
      </c>
      <c r="K487">
        <v>1958</v>
      </c>
      <c r="L487">
        <v>2436</v>
      </c>
      <c r="M487">
        <v>131000</v>
      </c>
      <c r="N487">
        <v>360</v>
      </c>
      <c r="O487">
        <v>1</v>
      </c>
      <c r="P487" t="s">
        <v>26</v>
      </c>
      <c r="Q487">
        <f t="shared" si="60"/>
        <v>0</v>
      </c>
      <c r="R487">
        <f t="shared" si="61"/>
        <v>0</v>
      </c>
      <c r="S487">
        <f t="shared" si="62"/>
        <v>1</v>
      </c>
      <c r="T487" t="s">
        <v>22</v>
      </c>
      <c r="U487">
        <f t="shared" si="63"/>
        <v>1</v>
      </c>
      <c r="V487">
        <v>7.580189417944541</v>
      </c>
      <c r="W487">
        <v>7.7985230536252059</v>
      </c>
      <c r="X487">
        <v>11.782952602183288</v>
      </c>
      <c r="Y487" t="s">
        <v>23</v>
      </c>
    </row>
    <row r="488" spans="1:25" x14ac:dyDescent="0.3">
      <c r="A488" t="s">
        <v>517</v>
      </c>
      <c r="B488" t="s">
        <v>18</v>
      </c>
      <c r="C488">
        <f t="shared" si="56"/>
        <v>1</v>
      </c>
      <c r="D488" t="s">
        <v>19</v>
      </c>
      <c r="E488">
        <f t="shared" si="57"/>
        <v>0</v>
      </c>
      <c r="F488">
        <v>2</v>
      </c>
      <c r="G488" t="s">
        <v>20</v>
      </c>
      <c r="H488">
        <f t="shared" si="58"/>
        <v>1</v>
      </c>
      <c r="I488" t="s">
        <v>19</v>
      </c>
      <c r="J488">
        <f t="shared" si="59"/>
        <v>0</v>
      </c>
      <c r="K488">
        <v>3547</v>
      </c>
      <c r="L488">
        <v>0</v>
      </c>
      <c r="M488">
        <v>80000</v>
      </c>
      <c r="N488">
        <v>360</v>
      </c>
      <c r="O488">
        <v>0</v>
      </c>
      <c r="P488" t="s">
        <v>26</v>
      </c>
      <c r="Q488">
        <f t="shared" si="60"/>
        <v>0</v>
      </c>
      <c r="R488">
        <f t="shared" si="61"/>
        <v>0</v>
      </c>
      <c r="S488">
        <f t="shared" si="62"/>
        <v>1</v>
      </c>
      <c r="T488" t="s">
        <v>27</v>
      </c>
      <c r="U488">
        <f t="shared" si="63"/>
        <v>0</v>
      </c>
      <c r="V488">
        <v>8.17413934342947</v>
      </c>
      <c r="W488">
        <v>0</v>
      </c>
      <c r="X488">
        <v>11.289781913656018</v>
      </c>
      <c r="Y488" t="s">
        <v>23</v>
      </c>
    </row>
    <row r="489" spans="1:25" x14ac:dyDescent="0.3">
      <c r="A489" t="s">
        <v>518</v>
      </c>
      <c r="B489" t="s">
        <v>18</v>
      </c>
      <c r="C489">
        <f t="shared" si="56"/>
        <v>1</v>
      </c>
      <c r="D489" t="s">
        <v>25</v>
      </c>
      <c r="E489">
        <f t="shared" si="57"/>
        <v>1</v>
      </c>
      <c r="F489">
        <v>1</v>
      </c>
      <c r="G489" t="s">
        <v>20</v>
      </c>
      <c r="H489">
        <f t="shared" si="58"/>
        <v>1</v>
      </c>
      <c r="I489" t="s">
        <v>19</v>
      </c>
      <c r="J489">
        <f t="shared" si="59"/>
        <v>0</v>
      </c>
      <c r="K489">
        <v>18333</v>
      </c>
      <c r="L489">
        <v>0</v>
      </c>
      <c r="M489">
        <v>500000</v>
      </c>
      <c r="N489">
        <v>360</v>
      </c>
      <c r="O489">
        <v>1</v>
      </c>
      <c r="P489" t="s">
        <v>21</v>
      </c>
      <c r="Q489">
        <f t="shared" si="60"/>
        <v>1</v>
      </c>
      <c r="R489">
        <f t="shared" si="61"/>
        <v>0</v>
      </c>
      <c r="S489">
        <f t="shared" si="62"/>
        <v>0</v>
      </c>
      <c r="T489" t="s">
        <v>27</v>
      </c>
      <c r="U489">
        <f t="shared" si="63"/>
        <v>0</v>
      </c>
      <c r="V489">
        <v>9.8165125385217209</v>
      </c>
      <c r="W489">
        <v>0</v>
      </c>
      <c r="X489">
        <v>13.122363377404328</v>
      </c>
      <c r="Y489" t="s">
        <v>23</v>
      </c>
    </row>
    <row r="490" spans="1:25" x14ac:dyDescent="0.3">
      <c r="A490" t="s">
        <v>519</v>
      </c>
      <c r="B490" t="s">
        <v>18</v>
      </c>
      <c r="C490">
        <f t="shared" si="56"/>
        <v>1</v>
      </c>
      <c r="D490" t="s">
        <v>25</v>
      </c>
      <c r="E490">
        <f t="shared" si="57"/>
        <v>1</v>
      </c>
      <c r="F490">
        <v>2</v>
      </c>
      <c r="G490" t="s">
        <v>20</v>
      </c>
      <c r="H490">
        <f t="shared" si="58"/>
        <v>1</v>
      </c>
      <c r="I490" t="s">
        <v>25</v>
      </c>
      <c r="J490">
        <f t="shared" si="59"/>
        <v>1</v>
      </c>
      <c r="K490">
        <v>4583</v>
      </c>
      <c r="L490">
        <v>2083</v>
      </c>
      <c r="M490">
        <v>160000</v>
      </c>
      <c r="N490">
        <v>360</v>
      </c>
      <c r="O490">
        <v>1</v>
      </c>
      <c r="P490" t="s">
        <v>35</v>
      </c>
      <c r="Q490">
        <f t="shared" si="60"/>
        <v>0</v>
      </c>
      <c r="R490">
        <f t="shared" si="61"/>
        <v>1</v>
      </c>
      <c r="S490">
        <f t="shared" si="62"/>
        <v>0</v>
      </c>
      <c r="T490" t="s">
        <v>22</v>
      </c>
      <c r="U490">
        <f t="shared" si="63"/>
        <v>1</v>
      </c>
      <c r="V490">
        <v>8.4303272583945752</v>
      </c>
      <c r="W490">
        <v>7.6420444028732577</v>
      </c>
      <c r="X490">
        <v>11.982929094215963</v>
      </c>
      <c r="Y490" t="s">
        <v>23</v>
      </c>
    </row>
    <row r="491" spans="1:25" x14ac:dyDescent="0.3">
      <c r="A491" t="s">
        <v>520</v>
      </c>
      <c r="B491" t="s">
        <v>18</v>
      </c>
      <c r="C491">
        <f t="shared" si="56"/>
        <v>1</v>
      </c>
      <c r="D491" t="s">
        <v>19</v>
      </c>
      <c r="E491">
        <f t="shared" si="57"/>
        <v>0</v>
      </c>
      <c r="F491">
        <v>0</v>
      </c>
      <c r="G491" t="s">
        <v>20</v>
      </c>
      <c r="H491">
        <f t="shared" si="58"/>
        <v>1</v>
      </c>
      <c r="I491" t="s">
        <v>19</v>
      </c>
      <c r="J491">
        <f t="shared" si="59"/>
        <v>0</v>
      </c>
      <c r="K491">
        <v>2435</v>
      </c>
      <c r="L491">
        <v>0</v>
      </c>
      <c r="M491">
        <v>75000</v>
      </c>
      <c r="N491">
        <v>360</v>
      </c>
      <c r="O491">
        <v>1</v>
      </c>
      <c r="P491" t="s">
        <v>21</v>
      </c>
      <c r="Q491">
        <f t="shared" si="60"/>
        <v>1</v>
      </c>
      <c r="R491">
        <f t="shared" si="61"/>
        <v>0</v>
      </c>
      <c r="S491">
        <f t="shared" si="62"/>
        <v>0</v>
      </c>
      <c r="T491" t="s">
        <v>27</v>
      </c>
      <c r="U491">
        <f t="shared" si="63"/>
        <v>0</v>
      </c>
      <c r="V491">
        <v>7.798112628829788</v>
      </c>
      <c r="W491">
        <v>0</v>
      </c>
      <c r="X491">
        <v>11.225243392518447</v>
      </c>
      <c r="Y491" t="s">
        <v>23</v>
      </c>
    </row>
    <row r="492" spans="1:25" x14ac:dyDescent="0.3">
      <c r="A492" t="s">
        <v>521</v>
      </c>
      <c r="B492" t="s">
        <v>18</v>
      </c>
      <c r="C492">
        <f t="shared" si="56"/>
        <v>1</v>
      </c>
      <c r="D492" t="s">
        <v>19</v>
      </c>
      <c r="E492">
        <f t="shared" si="57"/>
        <v>0</v>
      </c>
      <c r="F492">
        <v>0</v>
      </c>
      <c r="G492" t="s">
        <v>30</v>
      </c>
      <c r="H492">
        <f t="shared" si="58"/>
        <v>0</v>
      </c>
      <c r="I492" t="s">
        <v>19</v>
      </c>
      <c r="J492">
        <f t="shared" si="59"/>
        <v>0</v>
      </c>
      <c r="K492">
        <v>2699</v>
      </c>
      <c r="L492">
        <v>2785</v>
      </c>
      <c r="M492">
        <v>96000</v>
      </c>
      <c r="N492">
        <v>360</v>
      </c>
      <c r="O492">
        <v>1</v>
      </c>
      <c r="P492" t="s">
        <v>35</v>
      </c>
      <c r="Q492">
        <f t="shared" si="60"/>
        <v>0</v>
      </c>
      <c r="R492">
        <f t="shared" si="61"/>
        <v>1</v>
      </c>
      <c r="S492">
        <f t="shared" si="62"/>
        <v>0</v>
      </c>
      <c r="T492" t="s">
        <v>22</v>
      </c>
      <c r="U492">
        <f t="shared" si="63"/>
        <v>1</v>
      </c>
      <c r="V492">
        <v>7.90100705199242</v>
      </c>
      <c r="W492">
        <v>7.9323621543397511</v>
      </c>
      <c r="X492">
        <v>11.472103470449973</v>
      </c>
      <c r="Y492" t="s">
        <v>23</v>
      </c>
    </row>
    <row r="493" spans="1:25" x14ac:dyDescent="0.3">
      <c r="A493" t="s">
        <v>522</v>
      </c>
      <c r="B493" t="s">
        <v>18</v>
      </c>
      <c r="C493">
        <f t="shared" si="56"/>
        <v>1</v>
      </c>
      <c r="D493" t="s">
        <v>25</v>
      </c>
      <c r="E493">
        <f t="shared" si="57"/>
        <v>1</v>
      </c>
      <c r="F493">
        <v>1</v>
      </c>
      <c r="G493" t="s">
        <v>30</v>
      </c>
      <c r="H493">
        <f t="shared" si="58"/>
        <v>0</v>
      </c>
      <c r="I493" t="s">
        <v>19</v>
      </c>
      <c r="J493">
        <f t="shared" si="59"/>
        <v>0</v>
      </c>
      <c r="K493">
        <v>5333</v>
      </c>
      <c r="L493">
        <v>1131</v>
      </c>
      <c r="M493">
        <v>186000</v>
      </c>
      <c r="N493">
        <v>360</v>
      </c>
      <c r="O493">
        <v>1</v>
      </c>
      <c r="P493" t="s">
        <v>21</v>
      </c>
      <c r="Q493">
        <f t="shared" si="60"/>
        <v>1</v>
      </c>
      <c r="R493">
        <f t="shared" si="61"/>
        <v>0</v>
      </c>
      <c r="S493">
        <f t="shared" si="62"/>
        <v>0</v>
      </c>
      <c r="T493" t="s">
        <v>22</v>
      </c>
      <c r="U493">
        <f t="shared" si="63"/>
        <v>1</v>
      </c>
      <c r="V493">
        <v>8.5818567047419592</v>
      </c>
      <c r="W493">
        <v>7.0317412587631276</v>
      </c>
      <c r="X493">
        <v>12.133501952695338</v>
      </c>
      <c r="Y493" t="s">
        <v>23</v>
      </c>
    </row>
    <row r="494" spans="1:25" x14ac:dyDescent="0.3">
      <c r="A494" t="s">
        <v>523</v>
      </c>
      <c r="B494" t="s">
        <v>18</v>
      </c>
      <c r="C494">
        <f t="shared" si="56"/>
        <v>1</v>
      </c>
      <c r="D494" t="s">
        <v>19</v>
      </c>
      <c r="E494">
        <f t="shared" si="57"/>
        <v>0</v>
      </c>
      <c r="F494">
        <v>0</v>
      </c>
      <c r="G494" t="s">
        <v>30</v>
      </c>
      <c r="H494">
        <f t="shared" si="58"/>
        <v>0</v>
      </c>
      <c r="I494" t="s">
        <v>19</v>
      </c>
      <c r="J494">
        <f t="shared" si="59"/>
        <v>0</v>
      </c>
      <c r="K494">
        <v>3691</v>
      </c>
      <c r="L494">
        <v>0</v>
      </c>
      <c r="M494">
        <v>110000</v>
      </c>
      <c r="N494">
        <v>360</v>
      </c>
      <c r="O494">
        <v>1</v>
      </c>
      <c r="P494" t="s">
        <v>26</v>
      </c>
      <c r="Q494">
        <f t="shared" si="60"/>
        <v>0</v>
      </c>
      <c r="R494">
        <f t="shared" si="61"/>
        <v>0</v>
      </c>
      <c r="S494">
        <f t="shared" si="62"/>
        <v>1</v>
      </c>
      <c r="T494" t="s">
        <v>22</v>
      </c>
      <c r="U494">
        <f t="shared" si="63"/>
        <v>1</v>
      </c>
      <c r="V494">
        <v>8.2139235956227434</v>
      </c>
      <c r="W494">
        <v>0</v>
      </c>
      <c r="X494">
        <v>11.608235644774552</v>
      </c>
      <c r="Y494" t="s">
        <v>23</v>
      </c>
    </row>
    <row r="495" spans="1:25" x14ac:dyDescent="0.3">
      <c r="A495" t="s">
        <v>524</v>
      </c>
      <c r="B495" t="s">
        <v>48</v>
      </c>
      <c r="C495">
        <f t="shared" si="56"/>
        <v>0</v>
      </c>
      <c r="D495" t="s">
        <v>19</v>
      </c>
      <c r="E495">
        <f t="shared" si="57"/>
        <v>0</v>
      </c>
      <c r="F495">
        <v>0</v>
      </c>
      <c r="G495" t="s">
        <v>30</v>
      </c>
      <c r="H495">
        <f t="shared" si="58"/>
        <v>0</v>
      </c>
      <c r="I495" t="s">
        <v>25</v>
      </c>
      <c r="J495">
        <f t="shared" si="59"/>
        <v>1</v>
      </c>
      <c r="K495">
        <v>17263</v>
      </c>
      <c r="L495">
        <v>0</v>
      </c>
      <c r="M495">
        <v>225000</v>
      </c>
      <c r="N495">
        <v>360</v>
      </c>
      <c r="O495">
        <v>1</v>
      </c>
      <c r="P495" t="s">
        <v>35</v>
      </c>
      <c r="Q495">
        <f t="shared" si="60"/>
        <v>0</v>
      </c>
      <c r="R495">
        <f t="shared" si="61"/>
        <v>1</v>
      </c>
      <c r="S495">
        <f t="shared" si="62"/>
        <v>0</v>
      </c>
      <c r="T495" t="s">
        <v>22</v>
      </c>
      <c r="U495">
        <f t="shared" si="63"/>
        <v>1</v>
      </c>
      <c r="V495">
        <v>9.7563786874979161</v>
      </c>
      <c r="W495">
        <v>0</v>
      </c>
      <c r="X495">
        <v>12.323855681186558</v>
      </c>
      <c r="Y495" t="s">
        <v>23</v>
      </c>
    </row>
    <row r="496" spans="1:25" x14ac:dyDescent="0.3">
      <c r="A496" t="s">
        <v>525</v>
      </c>
      <c r="B496" t="s">
        <v>18</v>
      </c>
      <c r="C496">
        <f t="shared" si="56"/>
        <v>1</v>
      </c>
      <c r="D496" t="s">
        <v>25</v>
      </c>
      <c r="E496">
        <f t="shared" si="57"/>
        <v>1</v>
      </c>
      <c r="F496">
        <v>0</v>
      </c>
      <c r="G496" t="s">
        <v>20</v>
      </c>
      <c r="H496">
        <f t="shared" si="58"/>
        <v>1</v>
      </c>
      <c r="I496" t="s">
        <v>19</v>
      </c>
      <c r="J496">
        <f t="shared" si="59"/>
        <v>0</v>
      </c>
      <c r="K496">
        <v>3597</v>
      </c>
      <c r="L496">
        <v>2157</v>
      </c>
      <c r="M496">
        <v>119000</v>
      </c>
      <c r="N496">
        <v>360</v>
      </c>
      <c r="O496">
        <v>0</v>
      </c>
      <c r="P496" t="s">
        <v>26</v>
      </c>
      <c r="Q496">
        <f t="shared" si="60"/>
        <v>0</v>
      </c>
      <c r="R496">
        <f t="shared" si="61"/>
        <v>0</v>
      </c>
      <c r="S496">
        <f t="shared" si="62"/>
        <v>1</v>
      </c>
      <c r="T496" t="s">
        <v>27</v>
      </c>
      <c r="U496">
        <f t="shared" si="63"/>
        <v>0</v>
      </c>
      <c r="V496">
        <v>8.188133414510478</v>
      </c>
      <c r="W496">
        <v>7.67693714581808</v>
      </c>
      <c r="X496">
        <v>11.686878772093667</v>
      </c>
      <c r="Y496" t="s">
        <v>23</v>
      </c>
    </row>
    <row r="497" spans="1:25" x14ac:dyDescent="0.3">
      <c r="A497" t="s">
        <v>526</v>
      </c>
      <c r="B497" t="s">
        <v>48</v>
      </c>
      <c r="C497">
        <f t="shared" si="56"/>
        <v>0</v>
      </c>
      <c r="D497" t="s">
        <v>25</v>
      </c>
      <c r="E497">
        <f t="shared" si="57"/>
        <v>1</v>
      </c>
      <c r="F497">
        <v>1</v>
      </c>
      <c r="G497" t="s">
        <v>20</v>
      </c>
      <c r="H497">
        <f t="shared" si="58"/>
        <v>1</v>
      </c>
      <c r="I497" t="s">
        <v>19</v>
      </c>
      <c r="J497">
        <f t="shared" si="59"/>
        <v>0</v>
      </c>
      <c r="K497">
        <v>3326</v>
      </c>
      <c r="L497">
        <v>913</v>
      </c>
      <c r="M497">
        <v>105000</v>
      </c>
      <c r="N497">
        <v>84</v>
      </c>
      <c r="O497">
        <v>1</v>
      </c>
      <c r="P497" t="s">
        <v>35</v>
      </c>
      <c r="Q497">
        <f t="shared" si="60"/>
        <v>0</v>
      </c>
      <c r="R497">
        <f t="shared" si="61"/>
        <v>1</v>
      </c>
      <c r="S497">
        <f t="shared" si="62"/>
        <v>0</v>
      </c>
      <c r="T497" t="s">
        <v>22</v>
      </c>
      <c r="U497">
        <f t="shared" si="63"/>
        <v>1</v>
      </c>
      <c r="V497">
        <v>8.1098262760184774</v>
      </c>
      <c r="W497">
        <v>6.8178305714541496</v>
      </c>
      <c r="X497">
        <v>11.561715629139661</v>
      </c>
      <c r="Y497" t="s">
        <v>43</v>
      </c>
    </row>
    <row r="498" spans="1:25" x14ac:dyDescent="0.3">
      <c r="A498" t="s">
        <v>527</v>
      </c>
      <c r="B498" t="s">
        <v>18</v>
      </c>
      <c r="C498">
        <f t="shared" si="56"/>
        <v>1</v>
      </c>
      <c r="D498" t="s">
        <v>25</v>
      </c>
      <c r="E498">
        <f t="shared" si="57"/>
        <v>1</v>
      </c>
      <c r="F498">
        <v>0</v>
      </c>
      <c r="G498" t="s">
        <v>30</v>
      </c>
      <c r="H498">
        <f t="shared" si="58"/>
        <v>0</v>
      </c>
      <c r="I498" t="s">
        <v>19</v>
      </c>
      <c r="J498">
        <f t="shared" si="59"/>
        <v>0</v>
      </c>
      <c r="K498">
        <v>2600</v>
      </c>
      <c r="L498">
        <v>1700</v>
      </c>
      <c r="M498">
        <v>107000</v>
      </c>
      <c r="N498">
        <v>360</v>
      </c>
      <c r="O498">
        <v>1</v>
      </c>
      <c r="P498" t="s">
        <v>26</v>
      </c>
      <c r="Q498">
        <f t="shared" si="60"/>
        <v>0</v>
      </c>
      <c r="R498">
        <f t="shared" si="61"/>
        <v>0</v>
      </c>
      <c r="S498">
        <f t="shared" si="62"/>
        <v>1</v>
      </c>
      <c r="T498" t="s">
        <v>22</v>
      </c>
      <c r="U498">
        <f t="shared" si="63"/>
        <v>1</v>
      </c>
      <c r="V498">
        <v>7.8636512654486506</v>
      </c>
      <c r="W498">
        <v>7.4389715923958617</v>
      </c>
      <c r="X498">
        <v>11.580584113444043</v>
      </c>
      <c r="Y498" t="s">
        <v>23</v>
      </c>
    </row>
    <row r="499" spans="1:25" x14ac:dyDescent="0.3">
      <c r="A499" t="s">
        <v>528</v>
      </c>
      <c r="B499" t="s">
        <v>18</v>
      </c>
      <c r="C499">
        <f t="shared" si="56"/>
        <v>1</v>
      </c>
      <c r="D499" t="s">
        <v>25</v>
      </c>
      <c r="E499">
        <f t="shared" si="57"/>
        <v>1</v>
      </c>
      <c r="F499">
        <v>0</v>
      </c>
      <c r="G499" t="s">
        <v>20</v>
      </c>
      <c r="H499">
        <f t="shared" si="58"/>
        <v>1</v>
      </c>
      <c r="I499" t="s">
        <v>19</v>
      </c>
      <c r="J499">
        <f t="shared" si="59"/>
        <v>0</v>
      </c>
      <c r="K499">
        <v>4625</v>
      </c>
      <c r="L499">
        <v>2857</v>
      </c>
      <c r="M499">
        <v>111000</v>
      </c>
      <c r="N499">
        <v>12</v>
      </c>
      <c r="O499">
        <v>1</v>
      </c>
      <c r="P499" t="s">
        <v>21</v>
      </c>
      <c r="Q499">
        <f t="shared" si="60"/>
        <v>1</v>
      </c>
      <c r="R499">
        <f t="shared" si="61"/>
        <v>0</v>
      </c>
      <c r="S499">
        <f t="shared" si="62"/>
        <v>0</v>
      </c>
      <c r="T499" t="s">
        <v>22</v>
      </c>
      <c r="U499">
        <f t="shared" si="63"/>
        <v>1</v>
      </c>
      <c r="V499">
        <v>8.4394478427913846</v>
      </c>
      <c r="W499">
        <v>7.9578773584898128</v>
      </c>
      <c r="X499">
        <v>11.617285480294472</v>
      </c>
      <c r="Y499" t="s">
        <v>43</v>
      </c>
    </row>
    <row r="500" spans="1:25" x14ac:dyDescent="0.3">
      <c r="A500" t="s">
        <v>529</v>
      </c>
      <c r="B500" t="s">
        <v>18</v>
      </c>
      <c r="C500">
        <f t="shared" si="56"/>
        <v>1</v>
      </c>
      <c r="D500" t="s">
        <v>25</v>
      </c>
      <c r="E500">
        <f t="shared" si="57"/>
        <v>1</v>
      </c>
      <c r="F500">
        <v>1</v>
      </c>
      <c r="G500" t="s">
        <v>20</v>
      </c>
      <c r="H500">
        <f t="shared" si="58"/>
        <v>1</v>
      </c>
      <c r="I500" t="s">
        <v>25</v>
      </c>
      <c r="J500">
        <f t="shared" si="59"/>
        <v>1</v>
      </c>
      <c r="K500">
        <v>2895</v>
      </c>
      <c r="L500">
        <v>0</v>
      </c>
      <c r="M500">
        <v>95000</v>
      </c>
      <c r="N500">
        <v>360</v>
      </c>
      <c r="O500">
        <v>1</v>
      </c>
      <c r="P500" t="s">
        <v>35</v>
      </c>
      <c r="Q500">
        <f t="shared" si="60"/>
        <v>0</v>
      </c>
      <c r="R500">
        <f t="shared" si="61"/>
        <v>1</v>
      </c>
      <c r="S500">
        <f t="shared" si="62"/>
        <v>0</v>
      </c>
      <c r="T500" t="s">
        <v>22</v>
      </c>
      <c r="U500">
        <f t="shared" si="63"/>
        <v>1</v>
      </c>
      <c r="V500">
        <v>7.9710857535056068</v>
      </c>
      <c r="W500">
        <v>0</v>
      </c>
      <c r="X500">
        <v>11.461632170582678</v>
      </c>
      <c r="Y500" t="s">
        <v>23</v>
      </c>
    </row>
    <row r="501" spans="1:25" x14ac:dyDescent="0.3">
      <c r="A501" t="s">
        <v>530</v>
      </c>
      <c r="B501" t="s">
        <v>18</v>
      </c>
      <c r="C501">
        <f t="shared" si="56"/>
        <v>1</v>
      </c>
      <c r="D501" t="s">
        <v>19</v>
      </c>
      <c r="E501">
        <f t="shared" si="57"/>
        <v>0</v>
      </c>
      <c r="F501">
        <v>0</v>
      </c>
      <c r="G501" t="s">
        <v>20</v>
      </c>
      <c r="H501">
        <f t="shared" si="58"/>
        <v>1</v>
      </c>
      <c r="I501" t="s">
        <v>19</v>
      </c>
      <c r="J501">
        <f t="shared" si="59"/>
        <v>0</v>
      </c>
      <c r="K501">
        <v>6283</v>
      </c>
      <c r="L501">
        <v>4416</v>
      </c>
      <c r="M501">
        <v>209000</v>
      </c>
      <c r="N501">
        <v>360</v>
      </c>
      <c r="O501">
        <v>0</v>
      </c>
      <c r="P501" t="s">
        <v>26</v>
      </c>
      <c r="Q501">
        <f t="shared" si="60"/>
        <v>0</v>
      </c>
      <c r="R501">
        <f t="shared" si="61"/>
        <v>0</v>
      </c>
      <c r="S501">
        <f t="shared" si="62"/>
        <v>1</v>
      </c>
      <c r="T501" t="s">
        <v>27</v>
      </c>
      <c r="U501">
        <f t="shared" si="63"/>
        <v>0</v>
      </c>
      <c r="V501">
        <v>8.745761999375512</v>
      </c>
      <c r="W501">
        <v>8.3932160115965271</v>
      </c>
      <c r="X501">
        <v>12.250089530946948</v>
      </c>
      <c r="Y501" t="s">
        <v>23</v>
      </c>
    </row>
    <row r="502" spans="1:25" x14ac:dyDescent="0.3">
      <c r="A502" t="s">
        <v>531</v>
      </c>
      <c r="B502" t="s">
        <v>48</v>
      </c>
      <c r="C502">
        <f t="shared" si="56"/>
        <v>0</v>
      </c>
      <c r="D502" t="s">
        <v>19</v>
      </c>
      <c r="E502">
        <f t="shared" si="57"/>
        <v>0</v>
      </c>
      <c r="F502">
        <v>0</v>
      </c>
      <c r="G502" t="s">
        <v>20</v>
      </c>
      <c r="H502">
        <f t="shared" si="58"/>
        <v>1</v>
      </c>
      <c r="I502" t="s">
        <v>19</v>
      </c>
      <c r="J502">
        <f t="shared" si="59"/>
        <v>0</v>
      </c>
      <c r="K502">
        <v>645</v>
      </c>
      <c r="L502">
        <v>3683</v>
      </c>
      <c r="M502">
        <v>113000</v>
      </c>
      <c r="N502">
        <v>480</v>
      </c>
      <c r="O502">
        <v>1</v>
      </c>
      <c r="P502" t="s">
        <v>26</v>
      </c>
      <c r="Q502">
        <f t="shared" si="60"/>
        <v>0</v>
      </c>
      <c r="R502">
        <f t="shared" si="61"/>
        <v>0</v>
      </c>
      <c r="S502">
        <f t="shared" si="62"/>
        <v>1</v>
      </c>
      <c r="T502" t="s">
        <v>22</v>
      </c>
      <c r="U502">
        <f t="shared" si="63"/>
        <v>1</v>
      </c>
      <c r="V502">
        <v>6.4707995037826018</v>
      </c>
      <c r="W502">
        <v>8.2117543973751967</v>
      </c>
      <c r="X502">
        <v>11.635143097694478</v>
      </c>
      <c r="Y502" t="s">
        <v>23</v>
      </c>
    </row>
    <row r="503" spans="1:25" x14ac:dyDescent="0.3">
      <c r="A503" t="s">
        <v>532</v>
      </c>
      <c r="B503" t="s">
        <v>48</v>
      </c>
      <c r="C503">
        <f t="shared" si="56"/>
        <v>0</v>
      </c>
      <c r="D503" t="s">
        <v>19</v>
      </c>
      <c r="E503">
        <f t="shared" si="57"/>
        <v>0</v>
      </c>
      <c r="F503">
        <v>0</v>
      </c>
      <c r="G503" t="s">
        <v>20</v>
      </c>
      <c r="H503">
        <f t="shared" si="58"/>
        <v>1</v>
      </c>
      <c r="I503" t="s">
        <v>19</v>
      </c>
      <c r="J503">
        <f t="shared" si="59"/>
        <v>0</v>
      </c>
      <c r="K503">
        <v>3159</v>
      </c>
      <c r="L503">
        <v>0</v>
      </c>
      <c r="M503">
        <v>100000</v>
      </c>
      <c r="N503">
        <v>360</v>
      </c>
      <c r="O503">
        <v>1</v>
      </c>
      <c r="P503" t="s">
        <v>35</v>
      </c>
      <c r="Q503">
        <f t="shared" si="60"/>
        <v>0</v>
      </c>
      <c r="R503">
        <f t="shared" si="61"/>
        <v>1</v>
      </c>
      <c r="S503">
        <f t="shared" si="62"/>
        <v>0</v>
      </c>
      <c r="T503" t="s">
        <v>22</v>
      </c>
      <c r="U503">
        <f t="shared" si="63"/>
        <v>1</v>
      </c>
      <c r="V503">
        <v>8.0583273065809582</v>
      </c>
      <c r="W503">
        <v>0</v>
      </c>
      <c r="X503">
        <v>11.512925464970229</v>
      </c>
      <c r="Y503" t="s">
        <v>23</v>
      </c>
    </row>
    <row r="504" spans="1:25" x14ac:dyDescent="0.3">
      <c r="A504" t="s">
        <v>533</v>
      </c>
      <c r="B504" t="s">
        <v>18</v>
      </c>
      <c r="C504">
        <f t="shared" si="56"/>
        <v>1</v>
      </c>
      <c r="D504" t="s">
        <v>25</v>
      </c>
      <c r="E504">
        <f t="shared" si="57"/>
        <v>1</v>
      </c>
      <c r="F504">
        <v>2</v>
      </c>
      <c r="G504" t="s">
        <v>20</v>
      </c>
      <c r="H504">
        <f t="shared" si="58"/>
        <v>1</v>
      </c>
      <c r="I504" t="s">
        <v>19</v>
      </c>
      <c r="J504">
        <f t="shared" si="59"/>
        <v>0</v>
      </c>
      <c r="K504">
        <v>4865</v>
      </c>
      <c r="L504">
        <v>5624</v>
      </c>
      <c r="M504">
        <v>208000</v>
      </c>
      <c r="N504">
        <v>360</v>
      </c>
      <c r="O504">
        <v>1</v>
      </c>
      <c r="P504" t="s">
        <v>35</v>
      </c>
      <c r="Q504">
        <f t="shared" si="60"/>
        <v>0</v>
      </c>
      <c r="R504">
        <f t="shared" si="61"/>
        <v>1</v>
      </c>
      <c r="S504">
        <f t="shared" si="62"/>
        <v>0</v>
      </c>
      <c r="T504" t="s">
        <v>22</v>
      </c>
      <c r="U504">
        <f t="shared" si="63"/>
        <v>1</v>
      </c>
      <c r="V504">
        <v>8.4900275233434677</v>
      </c>
      <c r="W504">
        <v>8.6349762270726202</v>
      </c>
      <c r="X504">
        <v>12.245293358683455</v>
      </c>
      <c r="Y504" t="s">
        <v>23</v>
      </c>
    </row>
    <row r="505" spans="1:25" x14ac:dyDescent="0.3">
      <c r="A505" t="s">
        <v>534</v>
      </c>
      <c r="B505" t="s">
        <v>18</v>
      </c>
      <c r="C505">
        <f t="shared" si="56"/>
        <v>1</v>
      </c>
      <c r="D505" t="s">
        <v>25</v>
      </c>
      <c r="E505">
        <f t="shared" si="57"/>
        <v>1</v>
      </c>
      <c r="F505">
        <v>1</v>
      </c>
      <c r="G505" t="s">
        <v>30</v>
      </c>
      <c r="H505">
        <f t="shared" si="58"/>
        <v>0</v>
      </c>
      <c r="I505" t="s">
        <v>19</v>
      </c>
      <c r="J505">
        <f t="shared" si="59"/>
        <v>0</v>
      </c>
      <c r="K505">
        <v>4050</v>
      </c>
      <c r="L505">
        <v>5302</v>
      </c>
      <c r="M505">
        <v>138000</v>
      </c>
      <c r="N505">
        <v>360</v>
      </c>
      <c r="O505">
        <v>1</v>
      </c>
      <c r="P505" t="s">
        <v>26</v>
      </c>
      <c r="Q505">
        <f t="shared" si="60"/>
        <v>0</v>
      </c>
      <c r="R505">
        <f t="shared" si="61"/>
        <v>0</v>
      </c>
      <c r="S505">
        <f t="shared" si="62"/>
        <v>1</v>
      </c>
      <c r="T505" t="s">
        <v>27</v>
      </c>
      <c r="U505">
        <f t="shared" si="63"/>
        <v>0</v>
      </c>
      <c r="V505">
        <v>8.3067190432026905</v>
      </c>
      <c r="W505">
        <v>8.5760279771371302</v>
      </c>
      <c r="X505">
        <v>11.835008964139341</v>
      </c>
      <c r="Y505" t="s">
        <v>23</v>
      </c>
    </row>
    <row r="506" spans="1:25" x14ac:dyDescent="0.3">
      <c r="A506" t="s">
        <v>535</v>
      </c>
      <c r="B506" t="s">
        <v>18</v>
      </c>
      <c r="C506">
        <f t="shared" si="56"/>
        <v>1</v>
      </c>
      <c r="D506" t="s">
        <v>25</v>
      </c>
      <c r="E506">
        <f t="shared" si="57"/>
        <v>1</v>
      </c>
      <c r="F506">
        <v>0</v>
      </c>
      <c r="G506" t="s">
        <v>30</v>
      </c>
      <c r="H506">
        <f t="shared" si="58"/>
        <v>0</v>
      </c>
      <c r="I506" t="s">
        <v>19</v>
      </c>
      <c r="J506">
        <f t="shared" si="59"/>
        <v>0</v>
      </c>
      <c r="K506">
        <v>3814</v>
      </c>
      <c r="L506">
        <v>1483</v>
      </c>
      <c r="M506">
        <v>124000</v>
      </c>
      <c r="N506">
        <v>300</v>
      </c>
      <c r="O506">
        <v>1</v>
      </c>
      <c r="P506" t="s">
        <v>35</v>
      </c>
      <c r="Q506">
        <f t="shared" si="60"/>
        <v>0</v>
      </c>
      <c r="R506">
        <f t="shared" si="61"/>
        <v>1</v>
      </c>
      <c r="S506">
        <f t="shared" si="62"/>
        <v>0</v>
      </c>
      <c r="T506" t="s">
        <v>22</v>
      </c>
      <c r="U506">
        <f t="shared" si="63"/>
        <v>1</v>
      </c>
      <c r="V506">
        <v>8.2466959437185565</v>
      </c>
      <c r="W506">
        <v>7.3024964237273258</v>
      </c>
      <c r="X506">
        <v>11.728036844587175</v>
      </c>
      <c r="Y506" t="s">
        <v>46</v>
      </c>
    </row>
    <row r="507" spans="1:25" x14ac:dyDescent="0.3">
      <c r="A507" t="s">
        <v>536</v>
      </c>
      <c r="B507" t="s">
        <v>18</v>
      </c>
      <c r="C507">
        <f t="shared" si="56"/>
        <v>1</v>
      </c>
      <c r="D507" t="s">
        <v>25</v>
      </c>
      <c r="E507">
        <f t="shared" si="57"/>
        <v>1</v>
      </c>
      <c r="F507">
        <v>2</v>
      </c>
      <c r="G507" t="s">
        <v>20</v>
      </c>
      <c r="H507">
        <f t="shared" si="58"/>
        <v>1</v>
      </c>
      <c r="I507" t="s">
        <v>19</v>
      </c>
      <c r="J507">
        <f t="shared" si="59"/>
        <v>0</v>
      </c>
      <c r="K507">
        <v>3510</v>
      </c>
      <c r="L507">
        <v>4416</v>
      </c>
      <c r="M507">
        <v>243000</v>
      </c>
      <c r="N507">
        <v>360</v>
      </c>
      <c r="O507">
        <v>1</v>
      </c>
      <c r="P507" t="s">
        <v>26</v>
      </c>
      <c r="Q507">
        <f t="shared" si="60"/>
        <v>0</v>
      </c>
      <c r="R507">
        <f t="shared" si="61"/>
        <v>0</v>
      </c>
      <c r="S507">
        <f t="shared" si="62"/>
        <v>1</v>
      </c>
      <c r="T507" t="s">
        <v>22</v>
      </c>
      <c r="U507">
        <f t="shared" si="63"/>
        <v>1</v>
      </c>
      <c r="V507">
        <v>8.1636561761684323</v>
      </c>
      <c r="W507">
        <v>8.3932160115965271</v>
      </c>
      <c r="X507">
        <v>12.400816722322686</v>
      </c>
      <c r="Y507" t="s">
        <v>23</v>
      </c>
    </row>
    <row r="508" spans="1:25" x14ac:dyDescent="0.3">
      <c r="A508" t="s">
        <v>537</v>
      </c>
      <c r="B508" t="s">
        <v>18</v>
      </c>
      <c r="C508">
        <f t="shared" si="56"/>
        <v>1</v>
      </c>
      <c r="D508" t="s">
        <v>25</v>
      </c>
      <c r="E508">
        <f t="shared" si="57"/>
        <v>1</v>
      </c>
      <c r="F508">
        <v>0</v>
      </c>
      <c r="G508" t="s">
        <v>20</v>
      </c>
      <c r="H508">
        <f t="shared" si="58"/>
        <v>1</v>
      </c>
      <c r="I508" t="s">
        <v>19</v>
      </c>
      <c r="J508">
        <f t="shared" si="59"/>
        <v>0</v>
      </c>
      <c r="K508">
        <v>20833</v>
      </c>
      <c r="L508">
        <v>6667</v>
      </c>
      <c r="M508">
        <v>480000</v>
      </c>
      <c r="N508">
        <v>360</v>
      </c>
      <c r="O508">
        <v>1</v>
      </c>
      <c r="P508" t="s">
        <v>21</v>
      </c>
      <c r="Q508">
        <f t="shared" si="60"/>
        <v>1</v>
      </c>
      <c r="R508">
        <f t="shared" si="61"/>
        <v>0</v>
      </c>
      <c r="S508">
        <f t="shared" si="62"/>
        <v>0</v>
      </c>
      <c r="T508" t="s">
        <v>22</v>
      </c>
      <c r="U508">
        <f t="shared" si="63"/>
        <v>1</v>
      </c>
      <c r="V508">
        <v>9.9443415465443934</v>
      </c>
      <c r="W508">
        <v>8.8050752438706841</v>
      </c>
      <c r="X508">
        <v>13.081541382884074</v>
      </c>
      <c r="Y508" t="s">
        <v>23</v>
      </c>
    </row>
    <row r="509" spans="1:25" x14ac:dyDescent="0.3">
      <c r="A509" t="s">
        <v>538</v>
      </c>
      <c r="B509" t="s">
        <v>18</v>
      </c>
      <c r="C509">
        <f t="shared" si="56"/>
        <v>1</v>
      </c>
      <c r="D509" t="s">
        <v>19</v>
      </c>
      <c r="E509">
        <f t="shared" si="57"/>
        <v>0</v>
      </c>
      <c r="F509">
        <v>0</v>
      </c>
      <c r="G509" t="s">
        <v>20</v>
      </c>
      <c r="H509">
        <f t="shared" si="58"/>
        <v>1</v>
      </c>
      <c r="I509" t="s">
        <v>19</v>
      </c>
      <c r="J509">
        <f t="shared" si="59"/>
        <v>0</v>
      </c>
      <c r="K509">
        <v>3583</v>
      </c>
      <c r="L509">
        <v>0</v>
      </c>
      <c r="M509">
        <v>96000</v>
      </c>
      <c r="N509">
        <v>360</v>
      </c>
      <c r="O509">
        <v>1</v>
      </c>
      <c r="P509" t="s">
        <v>21</v>
      </c>
      <c r="Q509">
        <f t="shared" si="60"/>
        <v>1</v>
      </c>
      <c r="R509">
        <f t="shared" si="61"/>
        <v>0</v>
      </c>
      <c r="S509">
        <f t="shared" si="62"/>
        <v>0</v>
      </c>
      <c r="T509" t="s">
        <v>27</v>
      </c>
      <c r="U509">
        <f t="shared" si="63"/>
        <v>0</v>
      </c>
      <c r="V509">
        <v>8.1842347740948203</v>
      </c>
      <c r="W509">
        <v>0</v>
      </c>
      <c r="X509">
        <v>11.472103470449973</v>
      </c>
      <c r="Y509" t="s">
        <v>23</v>
      </c>
    </row>
    <row r="510" spans="1:25" x14ac:dyDescent="0.3">
      <c r="A510" t="s">
        <v>539</v>
      </c>
      <c r="B510" t="s">
        <v>18</v>
      </c>
      <c r="C510">
        <f t="shared" si="56"/>
        <v>1</v>
      </c>
      <c r="D510" t="s">
        <v>25</v>
      </c>
      <c r="E510">
        <f t="shared" si="57"/>
        <v>1</v>
      </c>
      <c r="F510">
        <v>0</v>
      </c>
      <c r="G510" t="s">
        <v>20</v>
      </c>
      <c r="H510">
        <f t="shared" si="58"/>
        <v>1</v>
      </c>
      <c r="I510" t="s">
        <v>25</v>
      </c>
      <c r="J510">
        <f t="shared" si="59"/>
        <v>1</v>
      </c>
      <c r="K510">
        <v>2479</v>
      </c>
      <c r="L510">
        <v>3013</v>
      </c>
      <c r="M510">
        <v>188000</v>
      </c>
      <c r="N510">
        <v>360</v>
      </c>
      <c r="O510">
        <v>1</v>
      </c>
      <c r="P510" t="s">
        <v>21</v>
      </c>
      <c r="Q510">
        <f t="shared" si="60"/>
        <v>1</v>
      </c>
      <c r="R510">
        <f t="shared" si="61"/>
        <v>0</v>
      </c>
      <c r="S510">
        <f t="shared" si="62"/>
        <v>0</v>
      </c>
      <c r="T510" t="s">
        <v>22</v>
      </c>
      <c r="U510">
        <f t="shared" si="63"/>
        <v>1</v>
      </c>
      <c r="V510">
        <v>7.8160138391590266</v>
      </c>
      <c r="W510">
        <v>8.0110233791864403</v>
      </c>
      <c r="X510">
        <v>12.144197241812087</v>
      </c>
      <c r="Y510" t="s">
        <v>23</v>
      </c>
    </row>
    <row r="511" spans="1:25" x14ac:dyDescent="0.3">
      <c r="A511" t="s">
        <v>540</v>
      </c>
      <c r="B511" t="s">
        <v>48</v>
      </c>
      <c r="C511">
        <f t="shared" si="56"/>
        <v>0</v>
      </c>
      <c r="D511" t="s">
        <v>19</v>
      </c>
      <c r="E511">
        <f t="shared" si="57"/>
        <v>0</v>
      </c>
      <c r="F511">
        <v>1</v>
      </c>
      <c r="G511" t="s">
        <v>20</v>
      </c>
      <c r="H511">
        <f t="shared" si="58"/>
        <v>1</v>
      </c>
      <c r="I511" t="s">
        <v>19</v>
      </c>
      <c r="J511">
        <f t="shared" si="59"/>
        <v>0</v>
      </c>
      <c r="K511">
        <v>13262</v>
      </c>
      <c r="L511">
        <v>0</v>
      </c>
      <c r="M511">
        <v>40000</v>
      </c>
      <c r="N511">
        <v>360</v>
      </c>
      <c r="O511">
        <v>1</v>
      </c>
      <c r="P511" t="s">
        <v>21</v>
      </c>
      <c r="Q511">
        <f t="shared" si="60"/>
        <v>1</v>
      </c>
      <c r="R511">
        <f t="shared" si="61"/>
        <v>0</v>
      </c>
      <c r="S511">
        <f t="shared" si="62"/>
        <v>0</v>
      </c>
      <c r="T511" t="s">
        <v>22</v>
      </c>
      <c r="U511">
        <f t="shared" si="63"/>
        <v>1</v>
      </c>
      <c r="V511">
        <v>9.4927334824943532</v>
      </c>
      <c r="W511">
        <v>0</v>
      </c>
      <c r="X511">
        <v>10.596634733096073</v>
      </c>
      <c r="Y511" t="s">
        <v>23</v>
      </c>
    </row>
    <row r="512" spans="1:25" x14ac:dyDescent="0.3">
      <c r="A512" t="s">
        <v>541</v>
      </c>
      <c r="B512" t="s">
        <v>18</v>
      </c>
      <c r="C512">
        <f t="shared" si="56"/>
        <v>1</v>
      </c>
      <c r="D512" t="s">
        <v>19</v>
      </c>
      <c r="E512">
        <f t="shared" si="57"/>
        <v>0</v>
      </c>
      <c r="F512">
        <v>0</v>
      </c>
      <c r="G512" t="s">
        <v>30</v>
      </c>
      <c r="H512">
        <f t="shared" si="58"/>
        <v>0</v>
      </c>
      <c r="I512" t="s">
        <v>19</v>
      </c>
      <c r="J512">
        <f t="shared" si="59"/>
        <v>0</v>
      </c>
      <c r="K512">
        <v>3598</v>
      </c>
      <c r="L512">
        <v>1287</v>
      </c>
      <c r="M512">
        <v>100000</v>
      </c>
      <c r="N512">
        <v>360</v>
      </c>
      <c r="O512">
        <v>1</v>
      </c>
      <c r="P512" t="s">
        <v>26</v>
      </c>
      <c r="Q512">
        <f t="shared" si="60"/>
        <v>0</v>
      </c>
      <c r="R512">
        <f t="shared" si="61"/>
        <v>0</v>
      </c>
      <c r="S512">
        <f t="shared" si="62"/>
        <v>1</v>
      </c>
      <c r="T512" t="s">
        <v>27</v>
      </c>
      <c r="U512">
        <f t="shared" si="63"/>
        <v>0</v>
      </c>
      <c r="V512">
        <v>8.1884113080790311</v>
      </c>
      <c r="W512">
        <v>7.1608459066642993</v>
      </c>
      <c r="X512">
        <v>11.512925464970229</v>
      </c>
      <c r="Y512" t="s">
        <v>23</v>
      </c>
    </row>
    <row r="513" spans="1:25" x14ac:dyDescent="0.3">
      <c r="A513" t="s">
        <v>542</v>
      </c>
      <c r="B513" t="s">
        <v>18</v>
      </c>
      <c r="C513">
        <f t="shared" si="56"/>
        <v>1</v>
      </c>
      <c r="D513" t="s">
        <v>25</v>
      </c>
      <c r="E513">
        <f t="shared" si="57"/>
        <v>1</v>
      </c>
      <c r="F513">
        <v>1</v>
      </c>
      <c r="G513" t="s">
        <v>20</v>
      </c>
      <c r="H513">
        <f t="shared" si="58"/>
        <v>1</v>
      </c>
      <c r="I513" t="s">
        <v>19</v>
      </c>
      <c r="J513">
        <f t="shared" si="59"/>
        <v>0</v>
      </c>
      <c r="K513">
        <v>6065</v>
      </c>
      <c r="L513">
        <v>2004</v>
      </c>
      <c r="M513">
        <v>250000</v>
      </c>
      <c r="N513">
        <v>360</v>
      </c>
      <c r="O513">
        <v>1</v>
      </c>
      <c r="P513" t="s">
        <v>35</v>
      </c>
      <c r="Q513">
        <f t="shared" si="60"/>
        <v>0</v>
      </c>
      <c r="R513">
        <f t="shared" si="61"/>
        <v>1</v>
      </c>
      <c r="S513">
        <f t="shared" si="62"/>
        <v>0</v>
      </c>
      <c r="T513" t="s">
        <v>22</v>
      </c>
      <c r="U513">
        <f t="shared" si="63"/>
        <v>1</v>
      </c>
      <c r="V513">
        <v>8.710454688248527</v>
      </c>
      <c r="W513">
        <v>7.6033993397406698</v>
      </c>
      <c r="X513">
        <v>12.429216196844383</v>
      </c>
      <c r="Y513" t="s">
        <v>23</v>
      </c>
    </row>
    <row r="514" spans="1:25" x14ac:dyDescent="0.3">
      <c r="A514" t="s">
        <v>543</v>
      </c>
      <c r="B514" t="s">
        <v>18</v>
      </c>
      <c r="C514">
        <f t="shared" si="56"/>
        <v>1</v>
      </c>
      <c r="D514" t="s">
        <v>25</v>
      </c>
      <c r="E514">
        <f t="shared" si="57"/>
        <v>1</v>
      </c>
      <c r="F514">
        <v>2</v>
      </c>
      <c r="G514" t="s">
        <v>20</v>
      </c>
      <c r="H514">
        <f t="shared" si="58"/>
        <v>1</v>
      </c>
      <c r="I514" t="s">
        <v>19</v>
      </c>
      <c r="J514">
        <f t="shared" si="59"/>
        <v>0</v>
      </c>
      <c r="K514">
        <v>3283</v>
      </c>
      <c r="L514">
        <v>2035</v>
      </c>
      <c r="M514">
        <v>148000</v>
      </c>
      <c r="N514">
        <v>360</v>
      </c>
      <c r="O514">
        <v>1</v>
      </c>
      <c r="P514" t="s">
        <v>21</v>
      </c>
      <c r="Q514">
        <f t="shared" si="60"/>
        <v>1</v>
      </c>
      <c r="R514">
        <f t="shared" si="61"/>
        <v>0</v>
      </c>
      <c r="S514">
        <f t="shared" si="62"/>
        <v>0</v>
      </c>
      <c r="T514" t="s">
        <v>22</v>
      </c>
      <c r="U514">
        <f t="shared" si="63"/>
        <v>1</v>
      </c>
      <c r="V514">
        <v>8.0968174705723186</v>
      </c>
      <c r="W514">
        <v>7.6187423776704133</v>
      </c>
      <c r="X514">
        <v>11.904967552746252</v>
      </c>
      <c r="Y514" t="s">
        <v>23</v>
      </c>
    </row>
    <row r="515" spans="1:25" x14ac:dyDescent="0.3">
      <c r="A515" t="s">
        <v>544</v>
      </c>
      <c r="B515" t="s">
        <v>18</v>
      </c>
      <c r="C515">
        <f t="shared" ref="C515:C578" si="64">IF(B515="Male",1,0)</f>
        <v>1</v>
      </c>
      <c r="D515" t="s">
        <v>25</v>
      </c>
      <c r="E515">
        <f t="shared" ref="E515:E578" si="65">IF(D515="No",0,1)</f>
        <v>1</v>
      </c>
      <c r="F515">
        <v>0</v>
      </c>
      <c r="G515" t="s">
        <v>20</v>
      </c>
      <c r="H515">
        <f t="shared" ref="H515:H578" si="66">IF(G515="Graduate",1,0)</f>
        <v>1</v>
      </c>
      <c r="I515" t="s">
        <v>19</v>
      </c>
      <c r="J515">
        <f t="shared" ref="J515:J578" si="67">IF(I515="No",0,1)</f>
        <v>0</v>
      </c>
      <c r="K515">
        <v>2130</v>
      </c>
      <c r="L515">
        <v>6666</v>
      </c>
      <c r="M515">
        <v>70000</v>
      </c>
      <c r="N515">
        <v>180</v>
      </c>
      <c r="O515">
        <v>1</v>
      </c>
      <c r="P515" t="s">
        <v>35</v>
      </c>
      <c r="Q515">
        <f t="shared" ref="Q515:Q578" si="68">IF(P515="Urban",1,0)</f>
        <v>0</v>
      </c>
      <c r="R515">
        <f t="shared" ref="R515:R578" si="69">IF(P515="Semiurban",1,0)</f>
        <v>1</v>
      </c>
      <c r="S515">
        <f t="shared" ref="S515:S578" si="70">IF(P515="Rural",1,0)</f>
        <v>0</v>
      </c>
      <c r="T515" t="s">
        <v>27</v>
      </c>
      <c r="U515">
        <f t="shared" ref="U515:U578" si="71">IF(T515="Y",1,0)</f>
        <v>0</v>
      </c>
      <c r="V515">
        <v>7.6643466320986171</v>
      </c>
      <c r="W515">
        <v>8.8049252626180596</v>
      </c>
      <c r="X515">
        <v>11.156250521031495</v>
      </c>
      <c r="Y515" t="s">
        <v>46</v>
      </c>
    </row>
    <row r="516" spans="1:25" x14ac:dyDescent="0.3">
      <c r="A516" t="s">
        <v>545</v>
      </c>
      <c r="B516" t="s">
        <v>18</v>
      </c>
      <c r="C516">
        <f t="shared" si="64"/>
        <v>1</v>
      </c>
      <c r="D516" t="s">
        <v>19</v>
      </c>
      <c r="E516">
        <f t="shared" si="65"/>
        <v>0</v>
      </c>
      <c r="F516">
        <v>0</v>
      </c>
      <c r="G516" t="s">
        <v>20</v>
      </c>
      <c r="H516">
        <f t="shared" si="66"/>
        <v>1</v>
      </c>
      <c r="I516" t="s">
        <v>19</v>
      </c>
      <c r="J516">
        <f t="shared" si="67"/>
        <v>0</v>
      </c>
      <c r="K516">
        <v>5815</v>
      </c>
      <c r="L516">
        <v>3666</v>
      </c>
      <c r="M516">
        <v>311000</v>
      </c>
      <c r="N516">
        <v>360</v>
      </c>
      <c r="O516">
        <v>1</v>
      </c>
      <c r="P516" t="s">
        <v>26</v>
      </c>
      <c r="Q516">
        <f t="shared" si="68"/>
        <v>0</v>
      </c>
      <c r="R516">
        <f t="shared" si="69"/>
        <v>0</v>
      </c>
      <c r="S516">
        <f t="shared" si="70"/>
        <v>1</v>
      </c>
      <c r="T516" t="s">
        <v>27</v>
      </c>
      <c r="U516">
        <f t="shared" si="71"/>
        <v>0</v>
      </c>
      <c r="V516">
        <v>8.6683680192133554</v>
      </c>
      <c r="W516">
        <v>8.2071291680713259</v>
      </c>
      <c r="X516">
        <v>12.647548191161372</v>
      </c>
      <c r="Y516" t="s">
        <v>23</v>
      </c>
    </row>
    <row r="517" spans="1:25" x14ac:dyDescent="0.3">
      <c r="A517" t="s">
        <v>546</v>
      </c>
      <c r="B517" t="s">
        <v>18</v>
      </c>
      <c r="C517">
        <f t="shared" si="64"/>
        <v>1</v>
      </c>
      <c r="D517" t="s">
        <v>25</v>
      </c>
      <c r="E517">
        <f t="shared" si="65"/>
        <v>1</v>
      </c>
      <c r="F517">
        <v>3</v>
      </c>
      <c r="G517" t="s">
        <v>20</v>
      </c>
      <c r="H517">
        <f t="shared" si="66"/>
        <v>1</v>
      </c>
      <c r="I517" t="s">
        <v>19</v>
      </c>
      <c r="J517">
        <f t="shared" si="67"/>
        <v>0</v>
      </c>
      <c r="K517">
        <v>3466</v>
      </c>
      <c r="L517">
        <v>3428</v>
      </c>
      <c r="M517">
        <v>150000</v>
      </c>
      <c r="N517">
        <v>360</v>
      </c>
      <c r="O517">
        <v>1</v>
      </c>
      <c r="P517" t="s">
        <v>26</v>
      </c>
      <c r="Q517">
        <f t="shared" si="68"/>
        <v>0</v>
      </c>
      <c r="R517">
        <f t="shared" si="69"/>
        <v>0</v>
      </c>
      <c r="S517">
        <f t="shared" si="70"/>
        <v>1</v>
      </c>
      <c r="T517" t="s">
        <v>22</v>
      </c>
      <c r="U517">
        <f t="shared" si="71"/>
        <v>1</v>
      </c>
      <c r="V517">
        <v>8.1510449456850242</v>
      </c>
      <c r="W517">
        <v>8.1400239524629203</v>
      </c>
      <c r="X517">
        <v>11.918390573078392</v>
      </c>
      <c r="Y517" t="s">
        <v>23</v>
      </c>
    </row>
    <row r="518" spans="1:25" x14ac:dyDescent="0.3">
      <c r="A518" t="s">
        <v>547</v>
      </c>
      <c r="B518" t="s">
        <v>48</v>
      </c>
      <c r="C518">
        <f t="shared" si="64"/>
        <v>0</v>
      </c>
      <c r="D518" t="s">
        <v>25</v>
      </c>
      <c r="E518">
        <f t="shared" si="65"/>
        <v>1</v>
      </c>
      <c r="F518">
        <v>2</v>
      </c>
      <c r="G518" t="s">
        <v>20</v>
      </c>
      <c r="H518">
        <f t="shared" si="66"/>
        <v>1</v>
      </c>
      <c r="I518" t="s">
        <v>19</v>
      </c>
      <c r="J518">
        <f t="shared" si="67"/>
        <v>0</v>
      </c>
      <c r="K518">
        <v>2031</v>
      </c>
      <c r="L518">
        <v>1632</v>
      </c>
      <c r="M518">
        <v>113000</v>
      </c>
      <c r="N518">
        <v>480</v>
      </c>
      <c r="O518">
        <v>1</v>
      </c>
      <c r="P518" t="s">
        <v>35</v>
      </c>
      <c r="Q518">
        <f t="shared" si="68"/>
        <v>0</v>
      </c>
      <c r="R518">
        <f t="shared" si="69"/>
        <v>1</v>
      </c>
      <c r="S518">
        <f t="shared" si="70"/>
        <v>0</v>
      </c>
      <c r="T518" t="s">
        <v>22</v>
      </c>
      <c r="U518">
        <f t="shared" si="71"/>
        <v>1</v>
      </c>
      <c r="V518">
        <v>7.6167758086983728</v>
      </c>
      <c r="W518">
        <v>7.3981740929704651</v>
      </c>
      <c r="X518">
        <v>11.635143097694478</v>
      </c>
      <c r="Y518" t="s">
        <v>23</v>
      </c>
    </row>
    <row r="519" spans="1:25" x14ac:dyDescent="0.3">
      <c r="A519" t="s">
        <v>548</v>
      </c>
      <c r="B519" t="s">
        <v>18</v>
      </c>
      <c r="C519">
        <f t="shared" si="64"/>
        <v>1</v>
      </c>
      <c r="D519" t="s">
        <v>25</v>
      </c>
      <c r="E519">
        <f t="shared" si="65"/>
        <v>1</v>
      </c>
      <c r="F519">
        <v>0</v>
      </c>
      <c r="G519" t="s">
        <v>30</v>
      </c>
      <c r="H519">
        <f t="shared" si="66"/>
        <v>0</v>
      </c>
      <c r="I519" t="s">
        <v>19</v>
      </c>
      <c r="J519">
        <f t="shared" si="67"/>
        <v>0</v>
      </c>
      <c r="K519">
        <v>3074</v>
      </c>
      <c r="L519">
        <v>1800</v>
      </c>
      <c r="M519">
        <v>123000</v>
      </c>
      <c r="N519">
        <v>360</v>
      </c>
      <c r="O519">
        <v>0</v>
      </c>
      <c r="P519" t="s">
        <v>35</v>
      </c>
      <c r="Q519">
        <f t="shared" si="68"/>
        <v>0</v>
      </c>
      <c r="R519">
        <f t="shared" si="69"/>
        <v>1</v>
      </c>
      <c r="S519">
        <f t="shared" si="70"/>
        <v>0</v>
      </c>
      <c r="T519" t="s">
        <v>27</v>
      </c>
      <c r="U519">
        <f t="shared" si="71"/>
        <v>0</v>
      </c>
      <c r="V519">
        <v>8.031060180240619</v>
      </c>
      <c r="W519">
        <v>7.4960973451759561</v>
      </c>
      <c r="X519">
        <v>11.719939634354555</v>
      </c>
      <c r="Y519" t="s">
        <v>23</v>
      </c>
    </row>
    <row r="520" spans="1:25" x14ac:dyDescent="0.3">
      <c r="A520" t="s">
        <v>549</v>
      </c>
      <c r="B520" t="s">
        <v>18</v>
      </c>
      <c r="C520">
        <f t="shared" si="64"/>
        <v>1</v>
      </c>
      <c r="D520" t="s">
        <v>19</v>
      </c>
      <c r="E520">
        <f t="shared" si="65"/>
        <v>0</v>
      </c>
      <c r="F520">
        <v>0</v>
      </c>
      <c r="G520" t="s">
        <v>20</v>
      </c>
      <c r="H520">
        <f t="shared" si="66"/>
        <v>1</v>
      </c>
      <c r="I520" t="s">
        <v>19</v>
      </c>
      <c r="J520">
        <f t="shared" si="67"/>
        <v>0</v>
      </c>
      <c r="K520">
        <v>4683</v>
      </c>
      <c r="L520">
        <v>1915</v>
      </c>
      <c r="M520">
        <v>185000</v>
      </c>
      <c r="N520">
        <v>360</v>
      </c>
      <c r="O520">
        <v>1</v>
      </c>
      <c r="P520" t="s">
        <v>35</v>
      </c>
      <c r="Q520">
        <f t="shared" si="68"/>
        <v>0</v>
      </c>
      <c r="R520">
        <f t="shared" si="69"/>
        <v>1</v>
      </c>
      <c r="S520">
        <f t="shared" si="70"/>
        <v>0</v>
      </c>
      <c r="T520" t="s">
        <v>27</v>
      </c>
      <c r="U520">
        <f t="shared" si="71"/>
        <v>0</v>
      </c>
      <c r="V520">
        <v>8.4519077247176071</v>
      </c>
      <c r="W520">
        <v>7.5579949585308057</v>
      </c>
      <c r="X520">
        <v>12.128111104060462</v>
      </c>
      <c r="Y520" t="s">
        <v>23</v>
      </c>
    </row>
    <row r="521" spans="1:25" x14ac:dyDescent="0.3">
      <c r="A521" t="s">
        <v>550</v>
      </c>
      <c r="B521" t="s">
        <v>48</v>
      </c>
      <c r="C521">
        <f t="shared" si="64"/>
        <v>0</v>
      </c>
      <c r="D521" t="s">
        <v>19</v>
      </c>
      <c r="E521">
        <f t="shared" si="65"/>
        <v>0</v>
      </c>
      <c r="F521">
        <v>0</v>
      </c>
      <c r="G521" t="s">
        <v>30</v>
      </c>
      <c r="H521">
        <f t="shared" si="66"/>
        <v>0</v>
      </c>
      <c r="I521" t="s">
        <v>19</v>
      </c>
      <c r="J521">
        <f t="shared" si="67"/>
        <v>0</v>
      </c>
      <c r="K521">
        <v>3400</v>
      </c>
      <c r="L521">
        <v>0</v>
      </c>
      <c r="M521">
        <v>95000</v>
      </c>
      <c r="N521">
        <v>360</v>
      </c>
      <c r="O521">
        <v>1</v>
      </c>
      <c r="P521" t="s">
        <v>26</v>
      </c>
      <c r="Q521">
        <f t="shared" si="68"/>
        <v>0</v>
      </c>
      <c r="R521">
        <f t="shared" si="69"/>
        <v>0</v>
      </c>
      <c r="S521">
        <f t="shared" si="70"/>
        <v>1</v>
      </c>
      <c r="T521" t="s">
        <v>27</v>
      </c>
      <c r="U521">
        <f t="shared" si="71"/>
        <v>0</v>
      </c>
      <c r="V521">
        <v>8.1318247850071952</v>
      </c>
      <c r="W521">
        <v>0</v>
      </c>
      <c r="X521">
        <v>11.461632170582678</v>
      </c>
      <c r="Y521" t="s">
        <v>23</v>
      </c>
    </row>
    <row r="522" spans="1:25" x14ac:dyDescent="0.3">
      <c r="A522" t="s">
        <v>551</v>
      </c>
      <c r="B522" t="s">
        <v>18</v>
      </c>
      <c r="C522">
        <f t="shared" si="64"/>
        <v>1</v>
      </c>
      <c r="D522" t="s">
        <v>25</v>
      </c>
      <c r="E522">
        <f t="shared" si="65"/>
        <v>1</v>
      </c>
      <c r="F522">
        <v>2</v>
      </c>
      <c r="G522" t="s">
        <v>30</v>
      </c>
      <c r="H522">
        <f t="shared" si="66"/>
        <v>0</v>
      </c>
      <c r="I522" t="s">
        <v>19</v>
      </c>
      <c r="J522">
        <f t="shared" si="67"/>
        <v>0</v>
      </c>
      <c r="K522">
        <v>2192</v>
      </c>
      <c r="L522">
        <v>1742</v>
      </c>
      <c r="M522">
        <v>45000</v>
      </c>
      <c r="N522">
        <v>360</v>
      </c>
      <c r="O522">
        <v>1</v>
      </c>
      <c r="P522" t="s">
        <v>35</v>
      </c>
      <c r="Q522">
        <f t="shared" si="68"/>
        <v>0</v>
      </c>
      <c r="R522">
        <f t="shared" si="69"/>
        <v>1</v>
      </c>
      <c r="S522">
        <f t="shared" si="70"/>
        <v>0</v>
      </c>
      <c r="T522" t="s">
        <v>22</v>
      </c>
      <c r="U522">
        <f t="shared" si="71"/>
        <v>1</v>
      </c>
      <c r="V522">
        <v>7.6930257484178881</v>
      </c>
      <c r="W522">
        <v>7.4633630455200208</v>
      </c>
      <c r="X522">
        <v>10.714417768752456</v>
      </c>
      <c r="Y522" t="s">
        <v>23</v>
      </c>
    </row>
    <row r="523" spans="1:25" x14ac:dyDescent="0.3">
      <c r="A523" t="s">
        <v>552</v>
      </c>
      <c r="B523" t="s">
        <v>18</v>
      </c>
      <c r="C523">
        <f t="shared" si="64"/>
        <v>1</v>
      </c>
      <c r="D523" t="s">
        <v>19</v>
      </c>
      <c r="E523">
        <f t="shared" si="65"/>
        <v>0</v>
      </c>
      <c r="F523">
        <v>0</v>
      </c>
      <c r="G523" t="s">
        <v>20</v>
      </c>
      <c r="H523">
        <f t="shared" si="66"/>
        <v>1</v>
      </c>
      <c r="I523" t="s">
        <v>19</v>
      </c>
      <c r="J523">
        <f t="shared" si="67"/>
        <v>0</v>
      </c>
      <c r="K523">
        <v>2500</v>
      </c>
      <c r="L523">
        <v>0</v>
      </c>
      <c r="M523">
        <v>55000</v>
      </c>
      <c r="N523">
        <v>360</v>
      </c>
      <c r="O523">
        <v>1</v>
      </c>
      <c r="P523" t="s">
        <v>35</v>
      </c>
      <c r="Q523">
        <f t="shared" si="68"/>
        <v>0</v>
      </c>
      <c r="R523">
        <f t="shared" si="69"/>
        <v>1</v>
      </c>
      <c r="S523">
        <f t="shared" si="70"/>
        <v>0</v>
      </c>
      <c r="T523" t="s">
        <v>22</v>
      </c>
      <c r="U523">
        <f t="shared" si="71"/>
        <v>1</v>
      </c>
      <c r="V523">
        <v>7.8244459308776193</v>
      </c>
      <c r="W523">
        <v>0</v>
      </c>
      <c r="X523">
        <v>10.915088464214607</v>
      </c>
      <c r="Y523" t="s">
        <v>23</v>
      </c>
    </row>
    <row r="524" spans="1:25" x14ac:dyDescent="0.3">
      <c r="A524" t="s">
        <v>553</v>
      </c>
      <c r="B524" t="s">
        <v>18</v>
      </c>
      <c r="C524">
        <f t="shared" si="64"/>
        <v>1</v>
      </c>
      <c r="D524" t="s">
        <v>25</v>
      </c>
      <c r="E524">
        <f t="shared" si="65"/>
        <v>1</v>
      </c>
      <c r="F524">
        <v>3</v>
      </c>
      <c r="G524" t="s">
        <v>20</v>
      </c>
      <c r="H524">
        <f t="shared" si="66"/>
        <v>1</v>
      </c>
      <c r="I524" t="s">
        <v>25</v>
      </c>
      <c r="J524">
        <f t="shared" si="67"/>
        <v>1</v>
      </c>
      <c r="K524">
        <v>5677</v>
      </c>
      <c r="L524">
        <v>1424</v>
      </c>
      <c r="M524">
        <v>100000</v>
      </c>
      <c r="N524">
        <v>360</v>
      </c>
      <c r="O524">
        <v>1</v>
      </c>
      <c r="P524" t="s">
        <v>26</v>
      </c>
      <c r="Q524">
        <f t="shared" si="68"/>
        <v>0</v>
      </c>
      <c r="R524">
        <f t="shared" si="69"/>
        <v>0</v>
      </c>
      <c r="S524">
        <f t="shared" si="70"/>
        <v>1</v>
      </c>
      <c r="T524" t="s">
        <v>22</v>
      </c>
      <c r="U524">
        <f t="shared" si="71"/>
        <v>1</v>
      </c>
      <c r="V524">
        <v>8.644354337032917</v>
      </c>
      <c r="W524">
        <v>7.2619270927027513</v>
      </c>
      <c r="X524">
        <v>11.512925464970229</v>
      </c>
      <c r="Y524" t="s">
        <v>23</v>
      </c>
    </row>
    <row r="525" spans="1:25" x14ac:dyDescent="0.3">
      <c r="A525" t="s">
        <v>554</v>
      </c>
      <c r="B525" t="s">
        <v>18</v>
      </c>
      <c r="C525">
        <f t="shared" si="64"/>
        <v>1</v>
      </c>
      <c r="D525" t="s">
        <v>25</v>
      </c>
      <c r="E525">
        <f t="shared" si="65"/>
        <v>1</v>
      </c>
      <c r="F525">
        <v>2</v>
      </c>
      <c r="G525" t="s">
        <v>20</v>
      </c>
      <c r="H525">
        <f t="shared" si="66"/>
        <v>1</v>
      </c>
      <c r="I525" t="s">
        <v>25</v>
      </c>
      <c r="J525">
        <f t="shared" si="67"/>
        <v>1</v>
      </c>
      <c r="K525">
        <v>7948</v>
      </c>
      <c r="L525">
        <v>7166</v>
      </c>
      <c r="M525">
        <v>480000</v>
      </c>
      <c r="N525">
        <v>360</v>
      </c>
      <c r="O525">
        <v>1</v>
      </c>
      <c r="P525" t="s">
        <v>26</v>
      </c>
      <c r="Q525">
        <f t="shared" si="68"/>
        <v>0</v>
      </c>
      <c r="R525">
        <f t="shared" si="69"/>
        <v>0</v>
      </c>
      <c r="S525">
        <f t="shared" si="70"/>
        <v>1</v>
      </c>
      <c r="T525" t="s">
        <v>22</v>
      </c>
      <c r="U525">
        <f t="shared" si="71"/>
        <v>1</v>
      </c>
      <c r="V525">
        <v>8.9808014135731131</v>
      </c>
      <c r="W525">
        <v>8.877242435993919</v>
      </c>
      <c r="X525">
        <v>13.081541382884074</v>
      </c>
      <c r="Y525" t="s">
        <v>23</v>
      </c>
    </row>
    <row r="526" spans="1:25" x14ac:dyDescent="0.3">
      <c r="A526" t="s">
        <v>555</v>
      </c>
      <c r="B526" t="s">
        <v>18</v>
      </c>
      <c r="C526">
        <f t="shared" si="64"/>
        <v>1</v>
      </c>
      <c r="D526" t="s">
        <v>19</v>
      </c>
      <c r="E526">
        <f t="shared" si="65"/>
        <v>0</v>
      </c>
      <c r="F526">
        <v>0</v>
      </c>
      <c r="G526" t="s">
        <v>20</v>
      </c>
      <c r="H526">
        <f t="shared" si="66"/>
        <v>1</v>
      </c>
      <c r="I526" t="s">
        <v>19</v>
      </c>
      <c r="J526">
        <f t="shared" si="67"/>
        <v>0</v>
      </c>
      <c r="K526">
        <v>4680</v>
      </c>
      <c r="L526">
        <v>2087</v>
      </c>
      <c r="M526">
        <v>128000</v>
      </c>
      <c r="N526">
        <v>360</v>
      </c>
      <c r="O526">
        <v>1</v>
      </c>
      <c r="P526" t="s">
        <v>35</v>
      </c>
      <c r="Q526">
        <f t="shared" si="68"/>
        <v>0</v>
      </c>
      <c r="R526">
        <f t="shared" si="69"/>
        <v>1</v>
      </c>
      <c r="S526">
        <f t="shared" si="70"/>
        <v>0</v>
      </c>
      <c r="T526" t="s">
        <v>27</v>
      </c>
      <c r="U526">
        <f t="shared" si="71"/>
        <v>0</v>
      </c>
      <c r="V526">
        <v>8.4512670413000706</v>
      </c>
      <c r="W526">
        <v>7.643961949002529</v>
      </c>
      <c r="X526">
        <v>11.759785542901755</v>
      </c>
      <c r="Y526" t="s">
        <v>23</v>
      </c>
    </row>
    <row r="527" spans="1:25" x14ac:dyDescent="0.3">
      <c r="A527" t="s">
        <v>556</v>
      </c>
      <c r="B527" t="s">
        <v>18</v>
      </c>
      <c r="C527">
        <f t="shared" si="64"/>
        <v>1</v>
      </c>
      <c r="D527" t="s">
        <v>25</v>
      </c>
      <c r="E527">
        <f t="shared" si="65"/>
        <v>1</v>
      </c>
      <c r="F527">
        <v>2</v>
      </c>
      <c r="G527" t="s">
        <v>20</v>
      </c>
      <c r="H527">
        <f t="shared" si="66"/>
        <v>1</v>
      </c>
      <c r="I527" t="s">
        <v>25</v>
      </c>
      <c r="J527">
        <f t="shared" si="67"/>
        <v>1</v>
      </c>
      <c r="K527">
        <v>17500</v>
      </c>
      <c r="L527">
        <v>0</v>
      </c>
      <c r="M527">
        <v>400000</v>
      </c>
      <c r="N527">
        <v>360</v>
      </c>
      <c r="O527">
        <v>1</v>
      </c>
      <c r="P527" t="s">
        <v>26</v>
      </c>
      <c r="Q527">
        <f t="shared" si="68"/>
        <v>0</v>
      </c>
      <c r="R527">
        <f t="shared" si="69"/>
        <v>0</v>
      </c>
      <c r="S527">
        <f t="shared" si="70"/>
        <v>1</v>
      </c>
      <c r="T527" t="s">
        <v>22</v>
      </c>
      <c r="U527">
        <f t="shared" si="71"/>
        <v>1</v>
      </c>
      <c r="V527">
        <v>9.7700133011361583</v>
      </c>
      <c r="W527">
        <v>0</v>
      </c>
      <c r="X527">
        <v>12.899219826090119</v>
      </c>
      <c r="Y527" t="s">
        <v>23</v>
      </c>
    </row>
    <row r="528" spans="1:25" x14ac:dyDescent="0.3">
      <c r="A528" t="s">
        <v>557</v>
      </c>
      <c r="B528" t="s">
        <v>18</v>
      </c>
      <c r="C528">
        <f t="shared" si="64"/>
        <v>1</v>
      </c>
      <c r="D528" t="s">
        <v>25</v>
      </c>
      <c r="E528">
        <f t="shared" si="65"/>
        <v>1</v>
      </c>
      <c r="F528">
        <v>0</v>
      </c>
      <c r="G528" t="s">
        <v>20</v>
      </c>
      <c r="H528">
        <f t="shared" si="66"/>
        <v>1</v>
      </c>
      <c r="I528" t="s">
        <v>19</v>
      </c>
      <c r="J528">
        <f t="shared" si="67"/>
        <v>0</v>
      </c>
      <c r="K528">
        <v>3775</v>
      </c>
      <c r="L528">
        <v>0</v>
      </c>
      <c r="M528">
        <v>110000</v>
      </c>
      <c r="N528">
        <v>360</v>
      </c>
      <c r="O528">
        <v>1</v>
      </c>
      <c r="P528" t="s">
        <v>35</v>
      </c>
      <c r="Q528">
        <f t="shared" si="68"/>
        <v>0</v>
      </c>
      <c r="R528">
        <f t="shared" si="69"/>
        <v>1</v>
      </c>
      <c r="S528">
        <f t="shared" si="70"/>
        <v>0</v>
      </c>
      <c r="T528" t="s">
        <v>22</v>
      </c>
      <c r="U528">
        <f t="shared" si="71"/>
        <v>1</v>
      </c>
      <c r="V528">
        <v>8.2364205272653912</v>
      </c>
      <c r="W528">
        <v>0</v>
      </c>
      <c r="X528">
        <v>11.608235644774552</v>
      </c>
      <c r="Y528" t="s">
        <v>23</v>
      </c>
    </row>
    <row r="529" spans="1:25" x14ac:dyDescent="0.3">
      <c r="A529" t="s">
        <v>558</v>
      </c>
      <c r="B529" t="s">
        <v>18</v>
      </c>
      <c r="C529">
        <f t="shared" si="64"/>
        <v>1</v>
      </c>
      <c r="D529" t="s">
        <v>25</v>
      </c>
      <c r="E529">
        <f t="shared" si="65"/>
        <v>1</v>
      </c>
      <c r="F529">
        <v>1</v>
      </c>
      <c r="G529" t="s">
        <v>30</v>
      </c>
      <c r="H529">
        <f t="shared" si="66"/>
        <v>0</v>
      </c>
      <c r="I529" t="s">
        <v>19</v>
      </c>
      <c r="J529">
        <f t="shared" si="67"/>
        <v>0</v>
      </c>
      <c r="K529">
        <v>5285</v>
      </c>
      <c r="L529">
        <v>1430</v>
      </c>
      <c r="M529">
        <v>161000</v>
      </c>
      <c r="N529">
        <v>360</v>
      </c>
      <c r="O529">
        <v>0</v>
      </c>
      <c r="P529" t="s">
        <v>35</v>
      </c>
      <c r="Q529">
        <f t="shared" si="68"/>
        <v>0</v>
      </c>
      <c r="R529">
        <f t="shared" si="69"/>
        <v>1</v>
      </c>
      <c r="S529">
        <f t="shared" si="70"/>
        <v>0</v>
      </c>
      <c r="T529" t="s">
        <v>22</v>
      </c>
      <c r="U529">
        <f t="shared" si="71"/>
        <v>1</v>
      </c>
      <c r="V529">
        <v>8.5728170951642344</v>
      </c>
      <c r="W529">
        <v>7.2661287795564506</v>
      </c>
      <c r="X529">
        <v>11.9891596439666</v>
      </c>
      <c r="Y529" t="s">
        <v>23</v>
      </c>
    </row>
    <row r="530" spans="1:25" x14ac:dyDescent="0.3">
      <c r="A530" t="s">
        <v>559</v>
      </c>
      <c r="B530" t="s">
        <v>18</v>
      </c>
      <c r="C530">
        <f t="shared" si="64"/>
        <v>1</v>
      </c>
      <c r="D530" t="s">
        <v>19</v>
      </c>
      <c r="E530">
        <f t="shared" si="65"/>
        <v>0</v>
      </c>
      <c r="F530">
        <v>1</v>
      </c>
      <c r="G530" t="s">
        <v>30</v>
      </c>
      <c r="H530">
        <f t="shared" si="66"/>
        <v>0</v>
      </c>
      <c r="I530" t="s">
        <v>19</v>
      </c>
      <c r="J530">
        <f t="shared" si="67"/>
        <v>0</v>
      </c>
      <c r="K530">
        <v>2679</v>
      </c>
      <c r="L530">
        <v>1302</v>
      </c>
      <c r="M530">
        <v>94000</v>
      </c>
      <c r="N530">
        <v>360</v>
      </c>
      <c r="O530">
        <v>1</v>
      </c>
      <c r="P530" t="s">
        <v>35</v>
      </c>
      <c r="Q530">
        <f t="shared" si="68"/>
        <v>0</v>
      </c>
      <c r="R530">
        <f t="shared" si="69"/>
        <v>1</v>
      </c>
      <c r="S530">
        <f t="shared" si="70"/>
        <v>0</v>
      </c>
      <c r="T530" t="s">
        <v>22</v>
      </c>
      <c r="U530">
        <f t="shared" si="71"/>
        <v>1</v>
      </c>
      <c r="V530">
        <v>7.8935720735049024</v>
      </c>
      <c r="W530">
        <v>7.1724245771248452</v>
      </c>
      <c r="X530">
        <v>11.451050061252142</v>
      </c>
      <c r="Y530" t="s">
        <v>23</v>
      </c>
    </row>
    <row r="531" spans="1:25" x14ac:dyDescent="0.3">
      <c r="A531" t="s">
        <v>560</v>
      </c>
      <c r="B531" t="s">
        <v>18</v>
      </c>
      <c r="C531">
        <f t="shared" si="64"/>
        <v>1</v>
      </c>
      <c r="D531" t="s">
        <v>19</v>
      </c>
      <c r="E531">
        <f t="shared" si="65"/>
        <v>0</v>
      </c>
      <c r="F531">
        <v>0</v>
      </c>
      <c r="G531" t="s">
        <v>30</v>
      </c>
      <c r="H531">
        <f t="shared" si="66"/>
        <v>0</v>
      </c>
      <c r="I531" t="s">
        <v>19</v>
      </c>
      <c r="J531">
        <f t="shared" si="67"/>
        <v>0</v>
      </c>
      <c r="K531">
        <v>6783</v>
      </c>
      <c r="L531">
        <v>0</v>
      </c>
      <c r="M531">
        <v>130000</v>
      </c>
      <c r="N531">
        <v>360</v>
      </c>
      <c r="O531">
        <v>1</v>
      </c>
      <c r="P531" t="s">
        <v>35</v>
      </c>
      <c r="Q531">
        <f t="shared" si="68"/>
        <v>0</v>
      </c>
      <c r="R531">
        <f t="shared" si="69"/>
        <v>1</v>
      </c>
      <c r="S531">
        <f t="shared" si="70"/>
        <v>0</v>
      </c>
      <c r="T531" t="s">
        <v>22</v>
      </c>
      <c r="U531">
        <f t="shared" si="71"/>
        <v>1</v>
      </c>
      <c r="V531">
        <v>8.8223221774717384</v>
      </c>
      <c r="W531">
        <v>0</v>
      </c>
      <c r="X531">
        <v>11.77528972943772</v>
      </c>
      <c r="Y531" t="s">
        <v>23</v>
      </c>
    </row>
    <row r="532" spans="1:25" x14ac:dyDescent="0.3">
      <c r="A532" t="s">
        <v>561</v>
      </c>
      <c r="B532" t="s">
        <v>18</v>
      </c>
      <c r="C532">
        <f t="shared" si="64"/>
        <v>1</v>
      </c>
      <c r="D532" t="s">
        <v>25</v>
      </c>
      <c r="E532">
        <f t="shared" si="65"/>
        <v>1</v>
      </c>
      <c r="F532">
        <v>0</v>
      </c>
      <c r="G532" t="s">
        <v>20</v>
      </c>
      <c r="H532">
        <f t="shared" si="66"/>
        <v>1</v>
      </c>
      <c r="I532" t="s">
        <v>19</v>
      </c>
      <c r="J532">
        <f t="shared" si="67"/>
        <v>0</v>
      </c>
      <c r="K532">
        <v>1025</v>
      </c>
      <c r="L532">
        <v>5500</v>
      </c>
      <c r="M532">
        <v>216000</v>
      </c>
      <c r="N532">
        <v>360</v>
      </c>
      <c r="O532">
        <v>1</v>
      </c>
      <c r="P532" t="s">
        <v>26</v>
      </c>
      <c r="Q532">
        <f t="shared" si="68"/>
        <v>0</v>
      </c>
      <c r="R532">
        <f t="shared" si="69"/>
        <v>0</v>
      </c>
      <c r="S532">
        <f t="shared" si="70"/>
        <v>1</v>
      </c>
      <c r="T532" t="s">
        <v>22</v>
      </c>
      <c r="U532">
        <f t="shared" si="71"/>
        <v>1</v>
      </c>
      <c r="V532">
        <v>6.9334230257307148</v>
      </c>
      <c r="W532">
        <v>8.6126851728754588</v>
      </c>
      <c r="X532">
        <v>12.283033686666302</v>
      </c>
      <c r="Y532" t="s">
        <v>23</v>
      </c>
    </row>
    <row r="533" spans="1:25" x14ac:dyDescent="0.3">
      <c r="A533" t="s">
        <v>562</v>
      </c>
      <c r="B533" t="s">
        <v>18</v>
      </c>
      <c r="C533">
        <f t="shared" si="64"/>
        <v>1</v>
      </c>
      <c r="D533" t="s">
        <v>25</v>
      </c>
      <c r="E533">
        <f t="shared" si="65"/>
        <v>1</v>
      </c>
      <c r="F533">
        <v>3</v>
      </c>
      <c r="G533" t="s">
        <v>20</v>
      </c>
      <c r="H533">
        <f t="shared" si="66"/>
        <v>1</v>
      </c>
      <c r="I533" t="s">
        <v>19</v>
      </c>
      <c r="J533">
        <f t="shared" si="67"/>
        <v>0</v>
      </c>
      <c r="K533">
        <v>4281</v>
      </c>
      <c r="L533">
        <v>0</v>
      </c>
      <c r="M533">
        <v>100000</v>
      </c>
      <c r="N533">
        <v>360</v>
      </c>
      <c r="O533">
        <v>1</v>
      </c>
      <c r="P533" t="s">
        <v>21</v>
      </c>
      <c r="Q533">
        <f t="shared" si="68"/>
        <v>1</v>
      </c>
      <c r="R533">
        <f t="shared" si="69"/>
        <v>0</v>
      </c>
      <c r="S533">
        <f t="shared" si="70"/>
        <v>0</v>
      </c>
      <c r="T533" t="s">
        <v>22</v>
      </c>
      <c r="U533">
        <f t="shared" si="71"/>
        <v>1</v>
      </c>
      <c r="V533">
        <v>8.3621754691496282</v>
      </c>
      <c r="W533">
        <v>0</v>
      </c>
      <c r="X533">
        <v>11.512925464970229</v>
      </c>
      <c r="Y533" t="s">
        <v>23</v>
      </c>
    </row>
    <row r="534" spans="1:25" x14ac:dyDescent="0.3">
      <c r="A534" t="s">
        <v>563</v>
      </c>
      <c r="B534" t="s">
        <v>18</v>
      </c>
      <c r="C534">
        <f t="shared" si="64"/>
        <v>1</v>
      </c>
      <c r="D534" t="s">
        <v>19</v>
      </c>
      <c r="E534">
        <f t="shared" si="65"/>
        <v>0</v>
      </c>
      <c r="F534">
        <v>2</v>
      </c>
      <c r="G534" t="s">
        <v>20</v>
      </c>
      <c r="H534">
        <f t="shared" si="66"/>
        <v>1</v>
      </c>
      <c r="I534" t="s">
        <v>19</v>
      </c>
      <c r="J534">
        <f t="shared" si="67"/>
        <v>0</v>
      </c>
      <c r="K534">
        <v>3588</v>
      </c>
      <c r="L534">
        <v>0</v>
      </c>
      <c r="M534">
        <v>110000</v>
      </c>
      <c r="N534">
        <v>360</v>
      </c>
      <c r="O534">
        <v>0</v>
      </c>
      <c r="P534" t="s">
        <v>26</v>
      </c>
      <c r="Q534">
        <f t="shared" si="68"/>
        <v>0</v>
      </c>
      <c r="R534">
        <f t="shared" si="69"/>
        <v>0</v>
      </c>
      <c r="S534">
        <f t="shared" si="70"/>
        <v>1</v>
      </c>
      <c r="T534" t="s">
        <v>27</v>
      </c>
      <c r="U534">
        <f t="shared" si="71"/>
        <v>0</v>
      </c>
      <c r="V534">
        <v>8.1856288911476067</v>
      </c>
      <c r="W534">
        <v>0</v>
      </c>
      <c r="X534">
        <v>11.608235644774552</v>
      </c>
      <c r="Y534" t="s">
        <v>23</v>
      </c>
    </row>
    <row r="535" spans="1:25" x14ac:dyDescent="0.3">
      <c r="A535" t="s">
        <v>564</v>
      </c>
      <c r="B535" t="s">
        <v>18</v>
      </c>
      <c r="C535">
        <f t="shared" si="64"/>
        <v>1</v>
      </c>
      <c r="D535" t="s">
        <v>19</v>
      </c>
      <c r="E535">
        <f t="shared" si="65"/>
        <v>0</v>
      </c>
      <c r="F535">
        <v>1</v>
      </c>
      <c r="G535" t="s">
        <v>20</v>
      </c>
      <c r="H535">
        <f t="shared" si="66"/>
        <v>1</v>
      </c>
      <c r="I535" t="s">
        <v>19</v>
      </c>
      <c r="J535">
        <f t="shared" si="67"/>
        <v>0</v>
      </c>
      <c r="K535">
        <v>11250</v>
      </c>
      <c r="L535">
        <v>0</v>
      </c>
      <c r="M535">
        <v>196000</v>
      </c>
      <c r="N535">
        <v>360</v>
      </c>
      <c r="O535">
        <v>1</v>
      </c>
      <c r="P535" t="s">
        <v>35</v>
      </c>
      <c r="Q535">
        <f t="shared" si="68"/>
        <v>0</v>
      </c>
      <c r="R535">
        <f t="shared" si="69"/>
        <v>1</v>
      </c>
      <c r="S535">
        <f t="shared" si="70"/>
        <v>0</v>
      </c>
      <c r="T535" t="s">
        <v>27</v>
      </c>
      <c r="U535">
        <f t="shared" si="71"/>
        <v>0</v>
      </c>
      <c r="V535">
        <v>9.328212292571072</v>
      </c>
      <c r="W535">
        <v>0</v>
      </c>
      <c r="X535">
        <v>12.185869938212655</v>
      </c>
      <c r="Y535" t="s">
        <v>23</v>
      </c>
    </row>
    <row r="536" spans="1:25" x14ac:dyDescent="0.3">
      <c r="A536" t="s">
        <v>565</v>
      </c>
      <c r="B536" t="s">
        <v>48</v>
      </c>
      <c r="C536">
        <f t="shared" si="64"/>
        <v>0</v>
      </c>
      <c r="D536" t="s">
        <v>19</v>
      </c>
      <c r="E536">
        <f t="shared" si="65"/>
        <v>0</v>
      </c>
      <c r="F536">
        <v>0</v>
      </c>
      <c r="G536" t="s">
        <v>30</v>
      </c>
      <c r="H536">
        <f t="shared" si="66"/>
        <v>0</v>
      </c>
      <c r="I536" t="s">
        <v>25</v>
      </c>
      <c r="J536">
        <f t="shared" si="67"/>
        <v>1</v>
      </c>
      <c r="K536">
        <v>18165</v>
      </c>
      <c r="L536">
        <v>0</v>
      </c>
      <c r="M536">
        <v>125000</v>
      </c>
      <c r="N536">
        <v>360</v>
      </c>
      <c r="O536">
        <v>1</v>
      </c>
      <c r="P536" t="s">
        <v>21</v>
      </c>
      <c r="Q536">
        <f t="shared" si="68"/>
        <v>1</v>
      </c>
      <c r="R536">
        <f t="shared" si="69"/>
        <v>0</v>
      </c>
      <c r="S536">
        <f t="shared" si="70"/>
        <v>0</v>
      </c>
      <c r="T536" t="s">
        <v>22</v>
      </c>
      <c r="U536">
        <f t="shared" si="71"/>
        <v>1</v>
      </c>
      <c r="V536">
        <v>9.8073069940621593</v>
      </c>
      <c r="W536">
        <v>0</v>
      </c>
      <c r="X536">
        <v>11.736069016284437</v>
      </c>
      <c r="Y536" t="s">
        <v>23</v>
      </c>
    </row>
    <row r="537" spans="1:25" x14ac:dyDescent="0.3">
      <c r="A537" t="s">
        <v>566</v>
      </c>
      <c r="B537" t="s">
        <v>18</v>
      </c>
      <c r="C537">
        <f t="shared" si="64"/>
        <v>1</v>
      </c>
      <c r="D537" t="s">
        <v>19</v>
      </c>
      <c r="E537">
        <f t="shared" si="65"/>
        <v>0</v>
      </c>
      <c r="F537">
        <v>0</v>
      </c>
      <c r="G537" t="s">
        <v>30</v>
      </c>
      <c r="H537">
        <f t="shared" si="66"/>
        <v>0</v>
      </c>
      <c r="I537" t="s">
        <v>19</v>
      </c>
      <c r="J537">
        <f t="shared" si="67"/>
        <v>0</v>
      </c>
      <c r="K537">
        <v>2550</v>
      </c>
      <c r="L537">
        <v>2042</v>
      </c>
      <c r="M537">
        <v>126000</v>
      </c>
      <c r="N537">
        <v>360</v>
      </c>
      <c r="O537">
        <v>1</v>
      </c>
      <c r="P537" t="s">
        <v>26</v>
      </c>
      <c r="Q537">
        <f t="shared" si="68"/>
        <v>0</v>
      </c>
      <c r="R537">
        <f t="shared" si="69"/>
        <v>0</v>
      </c>
      <c r="S537">
        <f t="shared" si="70"/>
        <v>1</v>
      </c>
      <c r="T537" t="s">
        <v>22</v>
      </c>
      <c r="U537">
        <f t="shared" si="71"/>
        <v>1</v>
      </c>
      <c r="V537">
        <v>7.844240718141811</v>
      </c>
      <c r="W537">
        <v>7.6221745948176221</v>
      </c>
      <c r="X537">
        <v>11.744037185933616</v>
      </c>
      <c r="Y537" t="s">
        <v>23</v>
      </c>
    </row>
    <row r="538" spans="1:25" x14ac:dyDescent="0.3">
      <c r="A538" t="s">
        <v>567</v>
      </c>
      <c r="B538" t="s">
        <v>18</v>
      </c>
      <c r="C538">
        <f t="shared" si="64"/>
        <v>1</v>
      </c>
      <c r="D538" t="s">
        <v>25</v>
      </c>
      <c r="E538">
        <f t="shared" si="65"/>
        <v>1</v>
      </c>
      <c r="F538">
        <v>0</v>
      </c>
      <c r="G538" t="s">
        <v>20</v>
      </c>
      <c r="H538">
        <f t="shared" si="66"/>
        <v>1</v>
      </c>
      <c r="I538" t="s">
        <v>19</v>
      </c>
      <c r="J538">
        <f t="shared" si="67"/>
        <v>0</v>
      </c>
      <c r="K538">
        <v>6133</v>
      </c>
      <c r="L538">
        <v>3906</v>
      </c>
      <c r="M538">
        <v>324000</v>
      </c>
      <c r="N538">
        <v>360</v>
      </c>
      <c r="O538">
        <v>1</v>
      </c>
      <c r="P538" t="s">
        <v>21</v>
      </c>
      <c r="Q538">
        <f t="shared" si="68"/>
        <v>1</v>
      </c>
      <c r="R538">
        <f t="shared" si="69"/>
        <v>0</v>
      </c>
      <c r="S538">
        <f t="shared" si="70"/>
        <v>0</v>
      </c>
      <c r="T538" t="s">
        <v>22</v>
      </c>
      <c r="U538">
        <f t="shared" si="71"/>
        <v>1</v>
      </c>
      <c r="V538">
        <v>8.7216023446741975</v>
      </c>
      <c r="W538">
        <v>8.2705250950550706</v>
      </c>
      <c r="X538">
        <v>12.688498794774466</v>
      </c>
      <c r="Y538" t="s">
        <v>23</v>
      </c>
    </row>
    <row r="539" spans="1:25" x14ac:dyDescent="0.3">
      <c r="A539" t="s">
        <v>568</v>
      </c>
      <c r="B539" t="s">
        <v>18</v>
      </c>
      <c r="C539">
        <f t="shared" si="64"/>
        <v>1</v>
      </c>
      <c r="D539" t="s">
        <v>19</v>
      </c>
      <c r="E539">
        <f t="shared" si="65"/>
        <v>0</v>
      </c>
      <c r="F539">
        <v>2</v>
      </c>
      <c r="G539" t="s">
        <v>20</v>
      </c>
      <c r="H539">
        <f t="shared" si="66"/>
        <v>1</v>
      </c>
      <c r="I539" t="s">
        <v>19</v>
      </c>
      <c r="J539">
        <f t="shared" si="67"/>
        <v>0</v>
      </c>
      <c r="K539">
        <v>3617</v>
      </c>
      <c r="L539">
        <v>0</v>
      </c>
      <c r="M539">
        <v>107000</v>
      </c>
      <c r="N539">
        <v>360</v>
      </c>
      <c r="O539">
        <v>1</v>
      </c>
      <c r="P539" t="s">
        <v>35</v>
      </c>
      <c r="Q539">
        <f t="shared" si="68"/>
        <v>0</v>
      </c>
      <c r="R539">
        <f t="shared" si="69"/>
        <v>1</v>
      </c>
      <c r="S539">
        <f t="shared" si="70"/>
        <v>0</v>
      </c>
      <c r="T539" t="s">
        <v>22</v>
      </c>
      <c r="U539">
        <f t="shared" si="71"/>
        <v>1</v>
      </c>
      <c r="V539">
        <v>8.1936766659552411</v>
      </c>
      <c r="W539">
        <v>0</v>
      </c>
      <c r="X539">
        <v>11.580584113444043</v>
      </c>
      <c r="Y539" t="s">
        <v>23</v>
      </c>
    </row>
    <row r="540" spans="1:25" x14ac:dyDescent="0.3">
      <c r="A540" t="s">
        <v>569</v>
      </c>
      <c r="B540" t="s">
        <v>18</v>
      </c>
      <c r="C540">
        <f t="shared" si="64"/>
        <v>1</v>
      </c>
      <c r="D540" t="s">
        <v>25</v>
      </c>
      <c r="E540">
        <f t="shared" si="65"/>
        <v>1</v>
      </c>
      <c r="F540">
        <v>0</v>
      </c>
      <c r="G540" t="s">
        <v>30</v>
      </c>
      <c r="H540">
        <f t="shared" si="66"/>
        <v>0</v>
      </c>
      <c r="I540" t="s">
        <v>19</v>
      </c>
      <c r="J540">
        <f t="shared" si="67"/>
        <v>0</v>
      </c>
      <c r="K540">
        <v>2917</v>
      </c>
      <c r="L540">
        <v>536</v>
      </c>
      <c r="M540">
        <v>66000</v>
      </c>
      <c r="N540">
        <v>360</v>
      </c>
      <c r="O540">
        <v>1</v>
      </c>
      <c r="P540" t="s">
        <v>26</v>
      </c>
      <c r="Q540">
        <f t="shared" si="68"/>
        <v>0</v>
      </c>
      <c r="R540">
        <f t="shared" si="69"/>
        <v>0</v>
      </c>
      <c r="S540">
        <f t="shared" si="70"/>
        <v>1</v>
      </c>
      <c r="T540" t="s">
        <v>27</v>
      </c>
      <c r="U540">
        <f t="shared" si="71"/>
        <v>0</v>
      </c>
      <c r="V540">
        <v>7.9786537290827306</v>
      </c>
      <c r="W540">
        <v>6.2859980945088649</v>
      </c>
      <c r="X540">
        <v>11.097410021008562</v>
      </c>
      <c r="Y540" t="s">
        <v>23</v>
      </c>
    </row>
    <row r="541" spans="1:25" x14ac:dyDescent="0.3">
      <c r="A541" t="s">
        <v>570</v>
      </c>
      <c r="B541" t="s">
        <v>18</v>
      </c>
      <c r="C541">
        <f t="shared" si="64"/>
        <v>1</v>
      </c>
      <c r="D541" t="s">
        <v>25</v>
      </c>
      <c r="E541">
        <f t="shared" si="65"/>
        <v>1</v>
      </c>
      <c r="F541">
        <v>3</v>
      </c>
      <c r="G541" t="s">
        <v>20</v>
      </c>
      <c r="H541">
        <f t="shared" si="66"/>
        <v>1</v>
      </c>
      <c r="I541" t="s">
        <v>19</v>
      </c>
      <c r="J541">
        <f t="shared" si="67"/>
        <v>0</v>
      </c>
      <c r="K541">
        <v>6417</v>
      </c>
      <c r="L541">
        <v>0</v>
      </c>
      <c r="M541">
        <v>157000</v>
      </c>
      <c r="N541">
        <v>180</v>
      </c>
      <c r="O541">
        <v>1</v>
      </c>
      <c r="P541" t="s">
        <v>26</v>
      </c>
      <c r="Q541">
        <f t="shared" si="68"/>
        <v>0</v>
      </c>
      <c r="R541">
        <f t="shared" si="69"/>
        <v>0</v>
      </c>
      <c r="S541">
        <f t="shared" si="70"/>
        <v>1</v>
      </c>
      <c r="T541" t="s">
        <v>22</v>
      </c>
      <c r="U541">
        <f t="shared" si="71"/>
        <v>1</v>
      </c>
      <c r="V541">
        <v>8.7668618216698029</v>
      </c>
      <c r="W541">
        <v>0</v>
      </c>
      <c r="X541">
        <v>11.964001084330445</v>
      </c>
      <c r="Y541" t="s">
        <v>46</v>
      </c>
    </row>
    <row r="542" spans="1:25" x14ac:dyDescent="0.3">
      <c r="A542" t="s">
        <v>571</v>
      </c>
      <c r="B542" t="s">
        <v>48</v>
      </c>
      <c r="C542">
        <f t="shared" si="64"/>
        <v>0</v>
      </c>
      <c r="D542" t="s">
        <v>25</v>
      </c>
      <c r="E542">
        <f t="shared" si="65"/>
        <v>1</v>
      </c>
      <c r="F542">
        <v>1</v>
      </c>
      <c r="G542" t="s">
        <v>20</v>
      </c>
      <c r="H542">
        <f t="shared" si="66"/>
        <v>1</v>
      </c>
      <c r="I542" t="s">
        <v>19</v>
      </c>
      <c r="J542">
        <f t="shared" si="67"/>
        <v>0</v>
      </c>
      <c r="K542">
        <v>4608</v>
      </c>
      <c r="L542">
        <v>2845</v>
      </c>
      <c r="M542">
        <v>140000</v>
      </c>
      <c r="N542">
        <v>180</v>
      </c>
      <c r="O542">
        <v>1</v>
      </c>
      <c r="P542" t="s">
        <v>35</v>
      </c>
      <c r="Q542">
        <f t="shared" si="68"/>
        <v>0</v>
      </c>
      <c r="R542">
        <f t="shared" si="69"/>
        <v>1</v>
      </c>
      <c r="S542">
        <f t="shared" si="70"/>
        <v>0</v>
      </c>
      <c r="T542" t="s">
        <v>22</v>
      </c>
      <c r="U542">
        <f t="shared" si="71"/>
        <v>1</v>
      </c>
      <c r="V542">
        <v>8.435766192720509</v>
      </c>
      <c r="W542">
        <v>7.9536697786497976</v>
      </c>
      <c r="X542">
        <v>11.849397701591441</v>
      </c>
      <c r="Y542" t="s">
        <v>46</v>
      </c>
    </row>
    <row r="543" spans="1:25" x14ac:dyDescent="0.3">
      <c r="A543" t="s">
        <v>572</v>
      </c>
      <c r="B543" t="s">
        <v>48</v>
      </c>
      <c r="C543">
        <f t="shared" si="64"/>
        <v>0</v>
      </c>
      <c r="D543" t="s">
        <v>19</v>
      </c>
      <c r="E543">
        <f t="shared" si="65"/>
        <v>0</v>
      </c>
      <c r="F543">
        <v>0</v>
      </c>
      <c r="G543" t="s">
        <v>20</v>
      </c>
      <c r="H543">
        <f t="shared" si="66"/>
        <v>1</v>
      </c>
      <c r="I543" t="s">
        <v>19</v>
      </c>
      <c r="J543">
        <f t="shared" si="67"/>
        <v>0</v>
      </c>
      <c r="K543">
        <v>2138</v>
      </c>
      <c r="L543">
        <v>0</v>
      </c>
      <c r="M543">
        <v>99000</v>
      </c>
      <c r="N543">
        <v>360</v>
      </c>
      <c r="O543">
        <v>0</v>
      </c>
      <c r="P543" t="s">
        <v>35</v>
      </c>
      <c r="Q543">
        <f t="shared" si="68"/>
        <v>0</v>
      </c>
      <c r="R543">
        <f t="shared" si="69"/>
        <v>1</v>
      </c>
      <c r="S543">
        <f t="shared" si="70"/>
        <v>0</v>
      </c>
      <c r="T543" t="s">
        <v>27</v>
      </c>
      <c r="U543">
        <f t="shared" si="71"/>
        <v>0</v>
      </c>
      <c r="V543">
        <v>7.668093709082406</v>
      </c>
      <c r="W543">
        <v>0</v>
      </c>
      <c r="X543">
        <v>11.502875129116727</v>
      </c>
      <c r="Y543" t="s">
        <v>23</v>
      </c>
    </row>
    <row r="544" spans="1:25" x14ac:dyDescent="0.3">
      <c r="A544" t="s">
        <v>573</v>
      </c>
      <c r="B544" t="s">
        <v>48</v>
      </c>
      <c r="C544">
        <f t="shared" si="64"/>
        <v>0</v>
      </c>
      <c r="D544" t="s">
        <v>19</v>
      </c>
      <c r="E544">
        <f t="shared" si="65"/>
        <v>0</v>
      </c>
      <c r="F544">
        <v>1</v>
      </c>
      <c r="G544" t="s">
        <v>20</v>
      </c>
      <c r="H544">
        <f t="shared" si="66"/>
        <v>1</v>
      </c>
      <c r="I544" t="s">
        <v>19</v>
      </c>
      <c r="J544">
        <f t="shared" si="67"/>
        <v>0</v>
      </c>
      <c r="K544">
        <v>3652</v>
      </c>
      <c r="L544">
        <v>0</v>
      </c>
      <c r="M544">
        <v>95000</v>
      </c>
      <c r="N544">
        <v>360</v>
      </c>
      <c r="O544">
        <v>1</v>
      </c>
      <c r="P544" t="s">
        <v>35</v>
      </c>
      <c r="Q544">
        <f t="shared" si="68"/>
        <v>0</v>
      </c>
      <c r="R544">
        <f t="shared" si="69"/>
        <v>1</v>
      </c>
      <c r="S544">
        <f t="shared" si="70"/>
        <v>0</v>
      </c>
      <c r="T544" t="s">
        <v>22</v>
      </c>
      <c r="U544">
        <f t="shared" si="71"/>
        <v>1</v>
      </c>
      <c r="V544">
        <v>8.2033040267952817</v>
      </c>
      <c r="W544">
        <v>0</v>
      </c>
      <c r="X544">
        <v>11.461632170582678</v>
      </c>
      <c r="Y544" t="s">
        <v>23</v>
      </c>
    </row>
    <row r="545" spans="1:25" x14ac:dyDescent="0.3">
      <c r="A545" t="s">
        <v>574</v>
      </c>
      <c r="B545" t="s">
        <v>18</v>
      </c>
      <c r="C545">
        <f t="shared" si="64"/>
        <v>1</v>
      </c>
      <c r="D545" t="s">
        <v>25</v>
      </c>
      <c r="E545">
        <f t="shared" si="65"/>
        <v>1</v>
      </c>
      <c r="F545">
        <v>1</v>
      </c>
      <c r="G545" t="s">
        <v>30</v>
      </c>
      <c r="H545">
        <f t="shared" si="66"/>
        <v>0</v>
      </c>
      <c r="I545" t="s">
        <v>19</v>
      </c>
      <c r="J545">
        <f t="shared" si="67"/>
        <v>0</v>
      </c>
      <c r="K545">
        <v>2239</v>
      </c>
      <c r="L545">
        <v>2524</v>
      </c>
      <c r="M545">
        <v>128000</v>
      </c>
      <c r="N545">
        <v>360</v>
      </c>
      <c r="O545">
        <v>1</v>
      </c>
      <c r="P545" t="s">
        <v>21</v>
      </c>
      <c r="Q545">
        <f t="shared" si="68"/>
        <v>1</v>
      </c>
      <c r="R545">
        <f t="shared" si="69"/>
        <v>0</v>
      </c>
      <c r="S545">
        <f t="shared" si="70"/>
        <v>0</v>
      </c>
      <c r="T545" t="s">
        <v>22</v>
      </c>
      <c r="U545">
        <f t="shared" si="71"/>
        <v>1</v>
      </c>
      <c r="V545">
        <v>7.7142311448490846</v>
      </c>
      <c r="W545">
        <v>7.8339963417094598</v>
      </c>
      <c r="X545">
        <v>11.759785542901755</v>
      </c>
      <c r="Y545" t="s">
        <v>23</v>
      </c>
    </row>
    <row r="546" spans="1:25" x14ac:dyDescent="0.3">
      <c r="A546" t="s">
        <v>575</v>
      </c>
      <c r="B546" t="s">
        <v>48</v>
      </c>
      <c r="C546">
        <f t="shared" si="64"/>
        <v>0</v>
      </c>
      <c r="D546" t="s">
        <v>25</v>
      </c>
      <c r="E546">
        <f t="shared" si="65"/>
        <v>1</v>
      </c>
      <c r="F546">
        <v>0</v>
      </c>
      <c r="G546" t="s">
        <v>30</v>
      </c>
      <c r="H546">
        <f t="shared" si="66"/>
        <v>0</v>
      </c>
      <c r="I546" t="s">
        <v>19</v>
      </c>
      <c r="J546">
        <f t="shared" si="67"/>
        <v>0</v>
      </c>
      <c r="K546">
        <v>3017</v>
      </c>
      <c r="L546">
        <v>663</v>
      </c>
      <c r="M546">
        <v>102000</v>
      </c>
      <c r="N546">
        <v>360</v>
      </c>
      <c r="O546">
        <v>1</v>
      </c>
      <c r="P546" t="s">
        <v>35</v>
      </c>
      <c r="Q546">
        <f t="shared" si="68"/>
        <v>0</v>
      </c>
      <c r="R546">
        <f t="shared" si="69"/>
        <v>1</v>
      </c>
      <c r="S546">
        <f t="shared" si="70"/>
        <v>0</v>
      </c>
      <c r="T546" t="s">
        <v>22</v>
      </c>
      <c r="U546">
        <f t="shared" si="71"/>
        <v>1</v>
      </c>
      <c r="V546">
        <v>8.0123496393277946</v>
      </c>
      <c r="W546">
        <v>6.4982821494764336</v>
      </c>
      <c r="X546">
        <v>11.532728092266408</v>
      </c>
      <c r="Y546" t="s">
        <v>23</v>
      </c>
    </row>
    <row r="547" spans="1:25" x14ac:dyDescent="0.3">
      <c r="A547" t="s">
        <v>576</v>
      </c>
      <c r="B547" t="s">
        <v>18</v>
      </c>
      <c r="C547">
        <f t="shared" si="64"/>
        <v>1</v>
      </c>
      <c r="D547" t="s">
        <v>25</v>
      </c>
      <c r="E547">
        <f t="shared" si="65"/>
        <v>1</v>
      </c>
      <c r="F547">
        <v>0</v>
      </c>
      <c r="G547" t="s">
        <v>20</v>
      </c>
      <c r="H547">
        <f t="shared" si="66"/>
        <v>1</v>
      </c>
      <c r="I547" t="s">
        <v>19</v>
      </c>
      <c r="J547">
        <f t="shared" si="67"/>
        <v>0</v>
      </c>
      <c r="K547">
        <v>2768</v>
      </c>
      <c r="L547">
        <v>1950</v>
      </c>
      <c r="M547">
        <v>155000</v>
      </c>
      <c r="N547">
        <v>360</v>
      </c>
      <c r="O547">
        <v>1</v>
      </c>
      <c r="P547" t="s">
        <v>26</v>
      </c>
      <c r="Q547">
        <f t="shared" si="68"/>
        <v>0</v>
      </c>
      <c r="R547">
        <f t="shared" si="69"/>
        <v>0</v>
      </c>
      <c r="S547">
        <f t="shared" si="70"/>
        <v>1</v>
      </c>
      <c r="T547" t="s">
        <v>22</v>
      </c>
      <c r="U547">
        <f t="shared" si="71"/>
        <v>1</v>
      </c>
      <c r="V547">
        <v>7.9262415231709618</v>
      </c>
      <c r="W547">
        <v>7.5760973406231109</v>
      </c>
      <c r="X547">
        <v>11.951180395901384</v>
      </c>
      <c r="Y547" t="s">
        <v>23</v>
      </c>
    </row>
    <row r="548" spans="1:25" x14ac:dyDescent="0.3">
      <c r="A548" t="s">
        <v>577</v>
      </c>
      <c r="B548" t="s">
        <v>18</v>
      </c>
      <c r="C548">
        <f t="shared" si="64"/>
        <v>1</v>
      </c>
      <c r="D548" t="s">
        <v>19</v>
      </c>
      <c r="E548">
        <f t="shared" si="65"/>
        <v>0</v>
      </c>
      <c r="F548">
        <v>0</v>
      </c>
      <c r="G548" t="s">
        <v>30</v>
      </c>
      <c r="H548">
        <f t="shared" si="66"/>
        <v>0</v>
      </c>
      <c r="I548" t="s">
        <v>19</v>
      </c>
      <c r="J548">
        <f t="shared" si="67"/>
        <v>0</v>
      </c>
      <c r="K548">
        <v>3358</v>
      </c>
      <c r="L548">
        <v>0</v>
      </c>
      <c r="M548">
        <v>80000</v>
      </c>
      <c r="N548">
        <v>36</v>
      </c>
      <c r="O548">
        <v>1</v>
      </c>
      <c r="P548" t="s">
        <v>35</v>
      </c>
      <c r="Q548">
        <f t="shared" si="68"/>
        <v>0</v>
      </c>
      <c r="R548">
        <f t="shared" si="69"/>
        <v>1</v>
      </c>
      <c r="S548">
        <f t="shared" si="70"/>
        <v>0</v>
      </c>
      <c r="T548" t="s">
        <v>27</v>
      </c>
      <c r="U548">
        <f t="shared" si="71"/>
        <v>0</v>
      </c>
      <c r="V548">
        <v>8.1193985896122935</v>
      </c>
      <c r="W548">
        <v>0</v>
      </c>
      <c r="X548">
        <v>11.289781913656018</v>
      </c>
      <c r="Y548" t="s">
        <v>43</v>
      </c>
    </row>
    <row r="549" spans="1:25" x14ac:dyDescent="0.3">
      <c r="A549" t="s">
        <v>578</v>
      </c>
      <c r="B549" t="s">
        <v>18</v>
      </c>
      <c r="C549">
        <f t="shared" si="64"/>
        <v>1</v>
      </c>
      <c r="D549" t="s">
        <v>19</v>
      </c>
      <c r="E549">
        <f t="shared" si="65"/>
        <v>0</v>
      </c>
      <c r="F549">
        <v>0</v>
      </c>
      <c r="G549" t="s">
        <v>20</v>
      </c>
      <c r="H549">
        <f t="shared" si="66"/>
        <v>1</v>
      </c>
      <c r="I549" t="s">
        <v>19</v>
      </c>
      <c r="J549">
        <f t="shared" si="67"/>
        <v>0</v>
      </c>
      <c r="K549">
        <v>2526</v>
      </c>
      <c r="L549">
        <v>1783</v>
      </c>
      <c r="M549">
        <v>145000</v>
      </c>
      <c r="N549">
        <v>360</v>
      </c>
      <c r="O549">
        <v>1</v>
      </c>
      <c r="P549" t="s">
        <v>26</v>
      </c>
      <c r="Q549">
        <f t="shared" si="68"/>
        <v>0</v>
      </c>
      <c r="R549">
        <f t="shared" si="69"/>
        <v>0</v>
      </c>
      <c r="S549">
        <f t="shared" si="70"/>
        <v>1</v>
      </c>
      <c r="T549" t="s">
        <v>22</v>
      </c>
      <c r="U549">
        <f t="shared" si="71"/>
        <v>1</v>
      </c>
      <c r="V549">
        <v>7.834788107388194</v>
      </c>
      <c r="W549">
        <v>7.486613313139955</v>
      </c>
      <c r="X549">
        <v>11.884489021402711</v>
      </c>
      <c r="Y549" t="s">
        <v>23</v>
      </c>
    </row>
    <row r="550" spans="1:25" x14ac:dyDescent="0.3">
      <c r="A550" t="s">
        <v>579</v>
      </c>
      <c r="B550" t="s">
        <v>48</v>
      </c>
      <c r="C550">
        <f t="shared" si="64"/>
        <v>0</v>
      </c>
      <c r="D550" t="s">
        <v>19</v>
      </c>
      <c r="E550">
        <f t="shared" si="65"/>
        <v>0</v>
      </c>
      <c r="F550">
        <v>0</v>
      </c>
      <c r="G550" t="s">
        <v>20</v>
      </c>
      <c r="H550">
        <f t="shared" si="66"/>
        <v>1</v>
      </c>
      <c r="I550" t="s">
        <v>19</v>
      </c>
      <c r="J550">
        <f t="shared" si="67"/>
        <v>0</v>
      </c>
      <c r="K550">
        <v>5000</v>
      </c>
      <c r="L550">
        <v>0</v>
      </c>
      <c r="M550">
        <v>103000</v>
      </c>
      <c r="N550">
        <v>360</v>
      </c>
      <c r="O550">
        <v>0</v>
      </c>
      <c r="P550" t="s">
        <v>35</v>
      </c>
      <c r="Q550">
        <f t="shared" si="68"/>
        <v>0</v>
      </c>
      <c r="R550">
        <f t="shared" si="69"/>
        <v>1</v>
      </c>
      <c r="S550">
        <f t="shared" si="70"/>
        <v>0</v>
      </c>
      <c r="T550" t="s">
        <v>27</v>
      </c>
      <c r="U550">
        <f t="shared" si="71"/>
        <v>0</v>
      </c>
      <c r="V550">
        <v>8.5173931714189042</v>
      </c>
      <c r="W550">
        <v>0</v>
      </c>
      <c r="X550">
        <v>11.542484267211773</v>
      </c>
      <c r="Y550" t="s">
        <v>23</v>
      </c>
    </row>
    <row r="551" spans="1:25" x14ac:dyDescent="0.3">
      <c r="A551" t="s">
        <v>580</v>
      </c>
      <c r="B551" t="s">
        <v>18</v>
      </c>
      <c r="C551">
        <f t="shared" si="64"/>
        <v>1</v>
      </c>
      <c r="D551" t="s">
        <v>25</v>
      </c>
      <c r="E551">
        <f t="shared" si="65"/>
        <v>1</v>
      </c>
      <c r="F551">
        <v>0</v>
      </c>
      <c r="G551" t="s">
        <v>20</v>
      </c>
      <c r="H551">
        <f t="shared" si="66"/>
        <v>1</v>
      </c>
      <c r="I551" t="s">
        <v>19</v>
      </c>
      <c r="J551">
        <f t="shared" si="67"/>
        <v>0</v>
      </c>
      <c r="K551">
        <v>2785</v>
      </c>
      <c r="L551">
        <v>2016</v>
      </c>
      <c r="M551">
        <v>110000</v>
      </c>
      <c r="N551">
        <v>360</v>
      </c>
      <c r="O551">
        <v>1</v>
      </c>
      <c r="P551" t="s">
        <v>26</v>
      </c>
      <c r="Q551">
        <f t="shared" si="68"/>
        <v>0</v>
      </c>
      <c r="R551">
        <f t="shared" si="69"/>
        <v>0</v>
      </c>
      <c r="S551">
        <f t="shared" si="70"/>
        <v>1</v>
      </c>
      <c r="T551" t="s">
        <v>22</v>
      </c>
      <c r="U551">
        <f t="shared" si="71"/>
        <v>1</v>
      </c>
      <c r="V551">
        <v>7.9323621543397511</v>
      </c>
      <c r="W551">
        <v>7.6093665379542106</v>
      </c>
      <c r="X551">
        <v>11.608235644774552</v>
      </c>
      <c r="Y551" t="s">
        <v>23</v>
      </c>
    </row>
    <row r="552" spans="1:25" x14ac:dyDescent="0.3">
      <c r="A552" t="s">
        <v>581</v>
      </c>
      <c r="B552" t="s">
        <v>18</v>
      </c>
      <c r="C552">
        <f t="shared" si="64"/>
        <v>1</v>
      </c>
      <c r="D552" t="s">
        <v>25</v>
      </c>
      <c r="E552">
        <f t="shared" si="65"/>
        <v>1</v>
      </c>
      <c r="F552">
        <v>2</v>
      </c>
      <c r="G552" t="s">
        <v>20</v>
      </c>
      <c r="H552">
        <f t="shared" si="66"/>
        <v>1</v>
      </c>
      <c r="I552" t="s">
        <v>25</v>
      </c>
      <c r="J552">
        <f t="shared" si="67"/>
        <v>1</v>
      </c>
      <c r="K552">
        <v>6633</v>
      </c>
      <c r="L552">
        <v>0</v>
      </c>
      <c r="M552">
        <v>128000</v>
      </c>
      <c r="N552">
        <v>360</v>
      </c>
      <c r="O552">
        <v>0</v>
      </c>
      <c r="P552" t="s">
        <v>26</v>
      </c>
      <c r="Q552">
        <f t="shared" si="68"/>
        <v>0</v>
      </c>
      <c r="R552">
        <f t="shared" si="69"/>
        <v>0</v>
      </c>
      <c r="S552">
        <f t="shared" si="70"/>
        <v>1</v>
      </c>
      <c r="T552" t="s">
        <v>27</v>
      </c>
      <c r="U552">
        <f t="shared" si="71"/>
        <v>0</v>
      </c>
      <c r="V552">
        <v>8.7999632195069974</v>
      </c>
      <c r="W552">
        <v>0</v>
      </c>
      <c r="X552">
        <v>11.759785542901755</v>
      </c>
      <c r="Y552" t="s">
        <v>23</v>
      </c>
    </row>
    <row r="553" spans="1:25" x14ac:dyDescent="0.3">
      <c r="A553" t="s">
        <v>582</v>
      </c>
      <c r="B553" t="s">
        <v>18</v>
      </c>
      <c r="C553">
        <f t="shared" si="64"/>
        <v>1</v>
      </c>
      <c r="D553" t="s">
        <v>25</v>
      </c>
      <c r="E553">
        <f t="shared" si="65"/>
        <v>1</v>
      </c>
      <c r="F553">
        <v>1</v>
      </c>
      <c r="G553" t="s">
        <v>30</v>
      </c>
      <c r="H553">
        <f t="shared" si="66"/>
        <v>0</v>
      </c>
      <c r="I553" t="s">
        <v>19</v>
      </c>
      <c r="J553">
        <f t="shared" si="67"/>
        <v>0</v>
      </c>
      <c r="K553">
        <v>2492</v>
      </c>
      <c r="L553">
        <v>2375</v>
      </c>
      <c r="M553">
        <v>128000</v>
      </c>
      <c r="N553">
        <v>360</v>
      </c>
      <c r="O553">
        <v>1</v>
      </c>
      <c r="P553" t="s">
        <v>26</v>
      </c>
      <c r="Q553">
        <f t="shared" si="68"/>
        <v>0</v>
      </c>
      <c r="R553">
        <f t="shared" si="69"/>
        <v>0</v>
      </c>
      <c r="S553">
        <f t="shared" si="70"/>
        <v>1</v>
      </c>
      <c r="T553" t="s">
        <v>22</v>
      </c>
      <c r="U553">
        <f t="shared" si="71"/>
        <v>1</v>
      </c>
      <c r="V553">
        <v>7.8212420835235577</v>
      </c>
      <c r="W553">
        <v>7.773173680482536</v>
      </c>
      <c r="X553">
        <v>11.759785542901755</v>
      </c>
      <c r="Y553" t="s">
        <v>23</v>
      </c>
    </row>
    <row r="554" spans="1:25" x14ac:dyDescent="0.3">
      <c r="A554" t="s">
        <v>583</v>
      </c>
      <c r="B554" t="s">
        <v>18</v>
      </c>
      <c r="C554">
        <f t="shared" si="64"/>
        <v>1</v>
      </c>
      <c r="D554" t="s">
        <v>25</v>
      </c>
      <c r="E554">
        <f t="shared" si="65"/>
        <v>1</v>
      </c>
      <c r="F554">
        <v>1</v>
      </c>
      <c r="G554" t="s">
        <v>20</v>
      </c>
      <c r="H554">
        <f t="shared" si="66"/>
        <v>1</v>
      </c>
      <c r="I554" t="s">
        <v>19</v>
      </c>
      <c r="J554">
        <f t="shared" si="67"/>
        <v>0</v>
      </c>
      <c r="K554">
        <v>3333</v>
      </c>
      <c r="L554">
        <v>3250</v>
      </c>
      <c r="M554">
        <v>158000</v>
      </c>
      <c r="N554">
        <v>360</v>
      </c>
      <c r="O554">
        <v>1</v>
      </c>
      <c r="P554" t="s">
        <v>21</v>
      </c>
      <c r="Q554">
        <f t="shared" si="68"/>
        <v>1</v>
      </c>
      <c r="R554">
        <f t="shared" si="69"/>
        <v>0</v>
      </c>
      <c r="S554">
        <f t="shared" si="70"/>
        <v>0</v>
      </c>
      <c r="T554" t="s">
        <v>22</v>
      </c>
      <c r="U554">
        <f t="shared" si="71"/>
        <v>1</v>
      </c>
      <c r="V554">
        <v>8.1119280633107387</v>
      </c>
      <c r="W554">
        <v>8.0867179203039061</v>
      </c>
      <c r="X554">
        <v>11.970350312009105</v>
      </c>
      <c r="Y554" t="s">
        <v>23</v>
      </c>
    </row>
    <row r="555" spans="1:25" x14ac:dyDescent="0.3">
      <c r="A555" t="s">
        <v>584</v>
      </c>
      <c r="B555" t="s">
        <v>18</v>
      </c>
      <c r="C555">
        <f t="shared" si="64"/>
        <v>1</v>
      </c>
      <c r="D555" t="s">
        <v>25</v>
      </c>
      <c r="E555">
        <f t="shared" si="65"/>
        <v>1</v>
      </c>
      <c r="F555">
        <v>0</v>
      </c>
      <c r="G555" t="s">
        <v>30</v>
      </c>
      <c r="H555">
        <f t="shared" si="66"/>
        <v>0</v>
      </c>
      <c r="I555" t="s">
        <v>19</v>
      </c>
      <c r="J555">
        <f t="shared" si="67"/>
        <v>0</v>
      </c>
      <c r="K555">
        <v>2454</v>
      </c>
      <c r="L555">
        <v>2333</v>
      </c>
      <c r="M555">
        <v>181000</v>
      </c>
      <c r="N555">
        <v>360</v>
      </c>
      <c r="O555">
        <v>0</v>
      </c>
      <c r="P555" t="s">
        <v>21</v>
      </c>
      <c r="Q555">
        <f t="shared" si="68"/>
        <v>1</v>
      </c>
      <c r="R555">
        <f t="shared" si="69"/>
        <v>0</v>
      </c>
      <c r="S555">
        <f t="shared" si="70"/>
        <v>0</v>
      </c>
      <c r="T555" t="s">
        <v>27</v>
      </c>
      <c r="U555">
        <f t="shared" si="71"/>
        <v>0</v>
      </c>
      <c r="V555">
        <v>7.8058820402286209</v>
      </c>
      <c r="W555">
        <v>7.7553388128465013</v>
      </c>
      <c r="X555">
        <v>12.106252310247962</v>
      </c>
      <c r="Y555" t="s">
        <v>23</v>
      </c>
    </row>
    <row r="556" spans="1:25" x14ac:dyDescent="0.3">
      <c r="A556" t="s">
        <v>585</v>
      </c>
      <c r="B556" t="s">
        <v>18</v>
      </c>
      <c r="C556">
        <f t="shared" si="64"/>
        <v>1</v>
      </c>
      <c r="D556" t="s">
        <v>25</v>
      </c>
      <c r="E556">
        <f t="shared" si="65"/>
        <v>1</v>
      </c>
      <c r="F556">
        <v>0</v>
      </c>
      <c r="G556" t="s">
        <v>20</v>
      </c>
      <c r="H556">
        <f t="shared" si="66"/>
        <v>1</v>
      </c>
      <c r="I556" t="s">
        <v>19</v>
      </c>
      <c r="J556">
        <f t="shared" si="67"/>
        <v>0</v>
      </c>
      <c r="K556">
        <v>3593</v>
      </c>
      <c r="L556">
        <v>4266</v>
      </c>
      <c r="M556">
        <v>132000</v>
      </c>
      <c r="N556">
        <v>180</v>
      </c>
      <c r="O556">
        <v>0</v>
      </c>
      <c r="P556" t="s">
        <v>26</v>
      </c>
      <c r="Q556">
        <f t="shared" si="68"/>
        <v>0</v>
      </c>
      <c r="R556">
        <f t="shared" si="69"/>
        <v>0</v>
      </c>
      <c r="S556">
        <f t="shared" si="70"/>
        <v>1</v>
      </c>
      <c r="T556" t="s">
        <v>27</v>
      </c>
      <c r="U556">
        <f t="shared" si="71"/>
        <v>0</v>
      </c>
      <c r="V556">
        <v>8.1870210673435047</v>
      </c>
      <c r="W556">
        <v>8.3586662831880005</v>
      </c>
      <c r="X556">
        <v>11.790557201568507</v>
      </c>
      <c r="Y556" t="s">
        <v>46</v>
      </c>
    </row>
    <row r="557" spans="1:25" x14ac:dyDescent="0.3">
      <c r="A557" t="s">
        <v>586</v>
      </c>
      <c r="B557" t="s">
        <v>18</v>
      </c>
      <c r="C557">
        <f t="shared" si="64"/>
        <v>1</v>
      </c>
      <c r="D557" t="s">
        <v>25</v>
      </c>
      <c r="E557">
        <f t="shared" si="65"/>
        <v>1</v>
      </c>
      <c r="F557">
        <v>1</v>
      </c>
      <c r="G557" t="s">
        <v>20</v>
      </c>
      <c r="H557">
        <f t="shared" si="66"/>
        <v>1</v>
      </c>
      <c r="I557" t="s">
        <v>19</v>
      </c>
      <c r="J557">
        <f t="shared" si="67"/>
        <v>0</v>
      </c>
      <c r="K557">
        <v>5468</v>
      </c>
      <c r="L557">
        <v>1032</v>
      </c>
      <c r="M557">
        <v>26000</v>
      </c>
      <c r="N557">
        <v>360</v>
      </c>
      <c r="O557">
        <v>1</v>
      </c>
      <c r="P557" t="s">
        <v>35</v>
      </c>
      <c r="Q557">
        <f t="shared" si="68"/>
        <v>0</v>
      </c>
      <c r="R557">
        <f t="shared" si="69"/>
        <v>1</v>
      </c>
      <c r="S557">
        <f t="shared" si="70"/>
        <v>0</v>
      </c>
      <c r="T557" t="s">
        <v>22</v>
      </c>
      <c r="U557">
        <f t="shared" si="71"/>
        <v>1</v>
      </c>
      <c r="V557">
        <v>8.6068510633467721</v>
      </c>
      <c r="W557">
        <v>6.9402224691196386</v>
      </c>
      <c r="X557">
        <v>10.165851817003619</v>
      </c>
      <c r="Y557" t="s">
        <v>23</v>
      </c>
    </row>
    <row r="558" spans="1:25" x14ac:dyDescent="0.3">
      <c r="A558" t="s">
        <v>587</v>
      </c>
      <c r="B558" t="s">
        <v>48</v>
      </c>
      <c r="C558">
        <f t="shared" si="64"/>
        <v>0</v>
      </c>
      <c r="D558" t="s">
        <v>19</v>
      </c>
      <c r="E558">
        <f t="shared" si="65"/>
        <v>0</v>
      </c>
      <c r="F558">
        <v>0</v>
      </c>
      <c r="G558" t="s">
        <v>20</v>
      </c>
      <c r="H558">
        <f t="shared" si="66"/>
        <v>1</v>
      </c>
      <c r="I558" t="s">
        <v>19</v>
      </c>
      <c r="J558">
        <f t="shared" si="67"/>
        <v>0</v>
      </c>
      <c r="K558">
        <v>2667</v>
      </c>
      <c r="L558">
        <v>1625</v>
      </c>
      <c r="M558">
        <v>84000</v>
      </c>
      <c r="N558">
        <v>360</v>
      </c>
      <c r="O558">
        <v>1</v>
      </c>
      <c r="P558" t="s">
        <v>21</v>
      </c>
      <c r="Q558">
        <f t="shared" si="68"/>
        <v>1</v>
      </c>
      <c r="R558">
        <f t="shared" si="69"/>
        <v>0</v>
      </c>
      <c r="S558">
        <f t="shared" si="70"/>
        <v>0</v>
      </c>
      <c r="T558" t="s">
        <v>22</v>
      </c>
      <c r="U558">
        <f t="shared" si="71"/>
        <v>1</v>
      </c>
      <c r="V558">
        <v>7.8890844070355142</v>
      </c>
      <c r="W558">
        <v>7.3938782901077564</v>
      </c>
      <c r="X558">
        <v>11.33857207782545</v>
      </c>
      <c r="Y558" t="s">
        <v>23</v>
      </c>
    </row>
    <row r="559" spans="1:25" x14ac:dyDescent="0.3">
      <c r="A559" t="s">
        <v>588</v>
      </c>
      <c r="B559" t="s">
        <v>18</v>
      </c>
      <c r="C559">
        <f t="shared" si="64"/>
        <v>1</v>
      </c>
      <c r="D559" t="s">
        <v>25</v>
      </c>
      <c r="E559">
        <f t="shared" si="65"/>
        <v>1</v>
      </c>
      <c r="F559">
        <v>3</v>
      </c>
      <c r="G559" t="s">
        <v>20</v>
      </c>
      <c r="H559">
        <f t="shared" si="66"/>
        <v>1</v>
      </c>
      <c r="I559" t="s">
        <v>25</v>
      </c>
      <c r="J559">
        <f t="shared" si="67"/>
        <v>1</v>
      </c>
      <c r="K559">
        <v>10139</v>
      </c>
      <c r="L559">
        <v>0</v>
      </c>
      <c r="M559">
        <v>260000</v>
      </c>
      <c r="N559">
        <v>360</v>
      </c>
      <c r="O559">
        <v>1</v>
      </c>
      <c r="P559" t="s">
        <v>35</v>
      </c>
      <c r="Q559">
        <f t="shared" si="68"/>
        <v>0</v>
      </c>
      <c r="R559">
        <f t="shared" si="69"/>
        <v>1</v>
      </c>
      <c r="S559">
        <f t="shared" si="70"/>
        <v>0</v>
      </c>
      <c r="T559" t="s">
        <v>22</v>
      </c>
      <c r="U559">
        <f t="shared" si="71"/>
        <v>1</v>
      </c>
      <c r="V559">
        <v>9.2242432771451739</v>
      </c>
      <c r="W559">
        <v>0</v>
      </c>
      <c r="X559">
        <v>12.468436909997665</v>
      </c>
      <c r="Y559" t="s">
        <v>23</v>
      </c>
    </row>
    <row r="560" spans="1:25" x14ac:dyDescent="0.3">
      <c r="A560" t="s">
        <v>589</v>
      </c>
      <c r="B560" t="s">
        <v>18</v>
      </c>
      <c r="C560">
        <f t="shared" si="64"/>
        <v>1</v>
      </c>
      <c r="D560" t="s">
        <v>25</v>
      </c>
      <c r="E560">
        <f t="shared" si="65"/>
        <v>1</v>
      </c>
      <c r="F560">
        <v>0</v>
      </c>
      <c r="G560" t="s">
        <v>20</v>
      </c>
      <c r="H560">
        <f t="shared" si="66"/>
        <v>1</v>
      </c>
      <c r="I560" t="s">
        <v>19</v>
      </c>
      <c r="J560">
        <f t="shared" si="67"/>
        <v>0</v>
      </c>
      <c r="K560">
        <v>3887</v>
      </c>
      <c r="L560">
        <v>2669</v>
      </c>
      <c r="M560">
        <v>162000</v>
      </c>
      <c r="N560">
        <v>360</v>
      </c>
      <c r="O560">
        <v>1</v>
      </c>
      <c r="P560" t="s">
        <v>35</v>
      </c>
      <c r="Q560">
        <f t="shared" si="68"/>
        <v>0</v>
      </c>
      <c r="R560">
        <f t="shared" si="69"/>
        <v>1</v>
      </c>
      <c r="S560">
        <f t="shared" si="70"/>
        <v>0</v>
      </c>
      <c r="T560" t="s">
        <v>22</v>
      </c>
      <c r="U560">
        <f t="shared" si="71"/>
        <v>1</v>
      </c>
      <c r="V560">
        <v>8.2656501655803289</v>
      </c>
      <c r="W560">
        <v>7.8898337513942964</v>
      </c>
      <c r="X560">
        <v>11.99535161421452</v>
      </c>
      <c r="Y560" t="s">
        <v>23</v>
      </c>
    </row>
    <row r="561" spans="1:25" x14ac:dyDescent="0.3">
      <c r="A561" t="s">
        <v>590</v>
      </c>
      <c r="B561" t="s">
        <v>48</v>
      </c>
      <c r="C561">
        <f t="shared" si="64"/>
        <v>0</v>
      </c>
      <c r="D561" t="s">
        <v>25</v>
      </c>
      <c r="E561">
        <f t="shared" si="65"/>
        <v>1</v>
      </c>
      <c r="F561">
        <v>0</v>
      </c>
      <c r="G561" t="s">
        <v>20</v>
      </c>
      <c r="H561">
        <f t="shared" si="66"/>
        <v>1</v>
      </c>
      <c r="I561" t="s">
        <v>19</v>
      </c>
      <c r="J561">
        <f t="shared" si="67"/>
        <v>0</v>
      </c>
      <c r="K561">
        <v>4180</v>
      </c>
      <c r="L561">
        <v>2306</v>
      </c>
      <c r="M561">
        <v>182000</v>
      </c>
      <c r="N561">
        <v>360</v>
      </c>
      <c r="O561">
        <v>1</v>
      </c>
      <c r="P561" t="s">
        <v>35</v>
      </c>
      <c r="Q561">
        <f t="shared" si="68"/>
        <v>0</v>
      </c>
      <c r="R561">
        <f t="shared" si="69"/>
        <v>1</v>
      </c>
      <c r="S561">
        <f t="shared" si="70"/>
        <v>0</v>
      </c>
      <c r="T561" t="s">
        <v>22</v>
      </c>
      <c r="U561">
        <f t="shared" si="71"/>
        <v>1</v>
      </c>
      <c r="V561">
        <v>8.3383057313565647</v>
      </c>
      <c r="W561">
        <v>7.7437032581737526</v>
      </c>
      <c r="X561">
        <v>12.111761966058932</v>
      </c>
      <c r="Y561" t="s">
        <v>23</v>
      </c>
    </row>
    <row r="562" spans="1:25" x14ac:dyDescent="0.3">
      <c r="A562" t="s">
        <v>591</v>
      </c>
      <c r="B562" t="s">
        <v>18</v>
      </c>
      <c r="C562">
        <f t="shared" si="64"/>
        <v>1</v>
      </c>
      <c r="D562" t="s">
        <v>25</v>
      </c>
      <c r="E562">
        <f t="shared" si="65"/>
        <v>1</v>
      </c>
      <c r="F562">
        <v>2</v>
      </c>
      <c r="G562" t="s">
        <v>30</v>
      </c>
      <c r="H562">
        <f t="shared" si="66"/>
        <v>0</v>
      </c>
      <c r="I562" t="s">
        <v>19</v>
      </c>
      <c r="J562">
        <f t="shared" si="67"/>
        <v>0</v>
      </c>
      <c r="K562">
        <v>3675</v>
      </c>
      <c r="L562">
        <v>242</v>
      </c>
      <c r="M562">
        <v>108000</v>
      </c>
      <c r="N562">
        <v>360</v>
      </c>
      <c r="O562">
        <v>1</v>
      </c>
      <c r="P562" t="s">
        <v>35</v>
      </c>
      <c r="Q562">
        <f t="shared" si="68"/>
        <v>0</v>
      </c>
      <c r="R562">
        <f t="shared" si="69"/>
        <v>1</v>
      </c>
      <c r="S562">
        <f t="shared" si="70"/>
        <v>0</v>
      </c>
      <c r="T562" t="s">
        <v>22</v>
      </c>
      <c r="U562">
        <f t="shared" si="71"/>
        <v>1</v>
      </c>
      <c r="V562">
        <v>8.2095804834755768</v>
      </c>
      <c r="W562">
        <v>5.4930614433405482</v>
      </c>
      <c r="X562">
        <v>11.589886506106357</v>
      </c>
      <c r="Y562" t="s">
        <v>23</v>
      </c>
    </row>
    <row r="563" spans="1:25" x14ac:dyDescent="0.3">
      <c r="A563" t="s">
        <v>592</v>
      </c>
      <c r="B563" t="s">
        <v>48</v>
      </c>
      <c r="C563">
        <f t="shared" si="64"/>
        <v>0</v>
      </c>
      <c r="D563" t="s">
        <v>25</v>
      </c>
      <c r="E563">
        <f t="shared" si="65"/>
        <v>1</v>
      </c>
      <c r="F563">
        <v>1</v>
      </c>
      <c r="G563" t="s">
        <v>20</v>
      </c>
      <c r="H563">
        <f t="shared" si="66"/>
        <v>1</v>
      </c>
      <c r="I563" t="s">
        <v>25</v>
      </c>
      <c r="J563">
        <f t="shared" si="67"/>
        <v>1</v>
      </c>
      <c r="K563">
        <v>19484</v>
      </c>
      <c r="L563">
        <v>0</v>
      </c>
      <c r="M563">
        <v>600000</v>
      </c>
      <c r="N563">
        <v>360</v>
      </c>
      <c r="O563">
        <v>1</v>
      </c>
      <c r="P563" t="s">
        <v>35</v>
      </c>
      <c r="Q563">
        <f t="shared" si="68"/>
        <v>0</v>
      </c>
      <c r="R563">
        <f t="shared" si="69"/>
        <v>1</v>
      </c>
      <c r="S563">
        <f t="shared" si="70"/>
        <v>0</v>
      </c>
      <c r="T563" t="s">
        <v>22</v>
      </c>
      <c r="U563">
        <f t="shared" si="71"/>
        <v>1</v>
      </c>
      <c r="V563">
        <v>9.8774002177728093</v>
      </c>
      <c r="W563">
        <v>0</v>
      </c>
      <c r="X563">
        <v>13.304684934198283</v>
      </c>
      <c r="Y563" t="s">
        <v>23</v>
      </c>
    </row>
    <row r="564" spans="1:25" x14ac:dyDescent="0.3">
      <c r="A564" t="s">
        <v>593</v>
      </c>
      <c r="B564" t="s">
        <v>18</v>
      </c>
      <c r="C564">
        <f t="shared" si="64"/>
        <v>1</v>
      </c>
      <c r="D564" t="s">
        <v>25</v>
      </c>
      <c r="E564">
        <f t="shared" si="65"/>
        <v>1</v>
      </c>
      <c r="F564">
        <v>0</v>
      </c>
      <c r="G564" t="s">
        <v>20</v>
      </c>
      <c r="H564">
        <f t="shared" si="66"/>
        <v>1</v>
      </c>
      <c r="I564" t="s">
        <v>19</v>
      </c>
      <c r="J564">
        <f t="shared" si="67"/>
        <v>0</v>
      </c>
      <c r="K564">
        <v>5923</v>
      </c>
      <c r="L564">
        <v>2054</v>
      </c>
      <c r="M564">
        <v>211000</v>
      </c>
      <c r="N564">
        <v>360</v>
      </c>
      <c r="O564">
        <v>1</v>
      </c>
      <c r="P564" t="s">
        <v>26</v>
      </c>
      <c r="Q564">
        <f t="shared" si="68"/>
        <v>0</v>
      </c>
      <c r="R564">
        <f t="shared" si="69"/>
        <v>0</v>
      </c>
      <c r="S564">
        <f t="shared" si="70"/>
        <v>1</v>
      </c>
      <c r="T564" t="s">
        <v>22</v>
      </c>
      <c r="U564">
        <f t="shared" si="71"/>
        <v>1</v>
      </c>
      <c r="V564">
        <v>8.6867671753876898</v>
      </c>
      <c r="W564">
        <v>7.6280311269303347</v>
      </c>
      <c r="X564">
        <v>12.259613412458204</v>
      </c>
      <c r="Y564" t="s">
        <v>23</v>
      </c>
    </row>
    <row r="565" spans="1:25" x14ac:dyDescent="0.3">
      <c r="A565" t="s">
        <v>594</v>
      </c>
      <c r="B565" t="s">
        <v>18</v>
      </c>
      <c r="C565">
        <f t="shared" si="64"/>
        <v>1</v>
      </c>
      <c r="D565" t="s">
        <v>19</v>
      </c>
      <c r="E565">
        <f t="shared" si="65"/>
        <v>0</v>
      </c>
      <c r="F565">
        <v>0</v>
      </c>
      <c r="G565" t="s">
        <v>30</v>
      </c>
      <c r="H565">
        <f t="shared" si="66"/>
        <v>0</v>
      </c>
      <c r="I565" t="s">
        <v>25</v>
      </c>
      <c r="J565">
        <f t="shared" si="67"/>
        <v>1</v>
      </c>
      <c r="K565">
        <v>5800</v>
      </c>
      <c r="L565">
        <v>0</v>
      </c>
      <c r="M565">
        <v>132000</v>
      </c>
      <c r="N565">
        <v>360</v>
      </c>
      <c r="O565">
        <v>1</v>
      </c>
      <c r="P565" t="s">
        <v>35</v>
      </c>
      <c r="Q565">
        <f t="shared" si="68"/>
        <v>0</v>
      </c>
      <c r="R565">
        <f t="shared" si="69"/>
        <v>1</v>
      </c>
      <c r="S565">
        <f t="shared" si="70"/>
        <v>0</v>
      </c>
      <c r="T565" t="s">
        <v>22</v>
      </c>
      <c r="U565">
        <f t="shared" si="71"/>
        <v>1</v>
      </c>
      <c r="V565">
        <v>8.6657855954660636</v>
      </c>
      <c r="W565">
        <v>0</v>
      </c>
      <c r="X565">
        <v>11.790557201568507</v>
      </c>
      <c r="Y565" t="s">
        <v>23</v>
      </c>
    </row>
    <row r="566" spans="1:25" x14ac:dyDescent="0.3">
      <c r="A566" t="s">
        <v>595</v>
      </c>
      <c r="B566" t="s">
        <v>18</v>
      </c>
      <c r="C566">
        <f t="shared" si="64"/>
        <v>1</v>
      </c>
      <c r="D566" t="s">
        <v>25</v>
      </c>
      <c r="E566">
        <f t="shared" si="65"/>
        <v>1</v>
      </c>
      <c r="F566">
        <v>2</v>
      </c>
      <c r="G566" t="s">
        <v>20</v>
      </c>
      <c r="H566">
        <f t="shared" si="66"/>
        <v>1</v>
      </c>
      <c r="I566" t="s">
        <v>19</v>
      </c>
      <c r="J566">
        <f t="shared" si="67"/>
        <v>0</v>
      </c>
      <c r="K566">
        <v>8799</v>
      </c>
      <c r="L566">
        <v>0</v>
      </c>
      <c r="M566">
        <v>258000</v>
      </c>
      <c r="N566">
        <v>360</v>
      </c>
      <c r="O566">
        <v>0</v>
      </c>
      <c r="P566" t="s">
        <v>21</v>
      </c>
      <c r="Q566">
        <f t="shared" si="68"/>
        <v>1</v>
      </c>
      <c r="R566">
        <f t="shared" si="69"/>
        <v>0</v>
      </c>
      <c r="S566">
        <f t="shared" si="70"/>
        <v>0</v>
      </c>
      <c r="T566" t="s">
        <v>27</v>
      </c>
      <c r="U566">
        <f t="shared" si="71"/>
        <v>0</v>
      </c>
      <c r="V566">
        <v>9.0825070004662987</v>
      </c>
      <c r="W566">
        <v>0</v>
      </c>
      <c r="X566">
        <v>12.460714863903755</v>
      </c>
      <c r="Y566" t="s">
        <v>23</v>
      </c>
    </row>
    <row r="567" spans="1:25" x14ac:dyDescent="0.3">
      <c r="A567" t="s">
        <v>596</v>
      </c>
      <c r="B567" t="s">
        <v>18</v>
      </c>
      <c r="C567">
        <f t="shared" si="64"/>
        <v>1</v>
      </c>
      <c r="D567" t="s">
        <v>25</v>
      </c>
      <c r="E567">
        <f t="shared" si="65"/>
        <v>1</v>
      </c>
      <c r="F567">
        <v>0</v>
      </c>
      <c r="G567" t="s">
        <v>30</v>
      </c>
      <c r="H567">
        <f t="shared" si="66"/>
        <v>0</v>
      </c>
      <c r="I567" t="s">
        <v>19</v>
      </c>
      <c r="J567">
        <f t="shared" si="67"/>
        <v>0</v>
      </c>
      <c r="K567">
        <v>4467</v>
      </c>
      <c r="L567">
        <v>0</v>
      </c>
      <c r="M567">
        <v>120000</v>
      </c>
      <c r="N567">
        <v>360</v>
      </c>
      <c r="O567">
        <v>1</v>
      </c>
      <c r="P567" t="s">
        <v>26</v>
      </c>
      <c r="Q567">
        <f t="shared" si="68"/>
        <v>0</v>
      </c>
      <c r="R567">
        <f t="shared" si="69"/>
        <v>0</v>
      </c>
      <c r="S567">
        <f t="shared" si="70"/>
        <v>1</v>
      </c>
      <c r="T567" t="s">
        <v>22</v>
      </c>
      <c r="U567">
        <f t="shared" si="71"/>
        <v>1</v>
      </c>
      <c r="V567">
        <v>8.4046961601890917</v>
      </c>
      <c r="W567">
        <v>0</v>
      </c>
      <c r="X567">
        <v>11.695247021764184</v>
      </c>
      <c r="Y567" t="s">
        <v>23</v>
      </c>
    </row>
    <row r="568" spans="1:25" x14ac:dyDescent="0.3">
      <c r="A568" t="s">
        <v>597</v>
      </c>
      <c r="B568" t="s">
        <v>18</v>
      </c>
      <c r="C568">
        <f t="shared" si="64"/>
        <v>1</v>
      </c>
      <c r="D568" t="s">
        <v>19</v>
      </c>
      <c r="E568">
        <f t="shared" si="65"/>
        <v>0</v>
      </c>
      <c r="F568">
        <v>0</v>
      </c>
      <c r="G568" t="s">
        <v>20</v>
      </c>
      <c r="H568">
        <f t="shared" si="66"/>
        <v>1</v>
      </c>
      <c r="I568" t="s">
        <v>19</v>
      </c>
      <c r="J568">
        <f t="shared" si="67"/>
        <v>0</v>
      </c>
      <c r="K568">
        <v>3333</v>
      </c>
      <c r="L568">
        <v>0</v>
      </c>
      <c r="M568">
        <v>70000</v>
      </c>
      <c r="N568">
        <v>360</v>
      </c>
      <c r="O568">
        <v>1</v>
      </c>
      <c r="P568" t="s">
        <v>21</v>
      </c>
      <c r="Q568">
        <f t="shared" si="68"/>
        <v>1</v>
      </c>
      <c r="R568">
        <f t="shared" si="69"/>
        <v>0</v>
      </c>
      <c r="S568">
        <f t="shared" si="70"/>
        <v>0</v>
      </c>
      <c r="T568" t="s">
        <v>22</v>
      </c>
      <c r="U568">
        <f t="shared" si="71"/>
        <v>1</v>
      </c>
      <c r="V568">
        <v>8.1119280633107387</v>
      </c>
      <c r="W568">
        <v>0</v>
      </c>
      <c r="X568">
        <v>11.156250521031495</v>
      </c>
      <c r="Y568" t="s">
        <v>23</v>
      </c>
    </row>
    <row r="569" spans="1:25" x14ac:dyDescent="0.3">
      <c r="A569" t="s">
        <v>598</v>
      </c>
      <c r="B569" t="s">
        <v>18</v>
      </c>
      <c r="C569">
        <f t="shared" si="64"/>
        <v>1</v>
      </c>
      <c r="D569" t="s">
        <v>25</v>
      </c>
      <c r="E569">
        <f t="shared" si="65"/>
        <v>1</v>
      </c>
      <c r="F569">
        <v>3</v>
      </c>
      <c r="G569" t="s">
        <v>20</v>
      </c>
      <c r="H569">
        <f t="shared" si="66"/>
        <v>1</v>
      </c>
      <c r="I569" t="s">
        <v>19</v>
      </c>
      <c r="J569">
        <f t="shared" si="67"/>
        <v>0</v>
      </c>
      <c r="K569">
        <v>3400</v>
      </c>
      <c r="L569">
        <v>2500</v>
      </c>
      <c r="M569">
        <v>123000</v>
      </c>
      <c r="N569">
        <v>360</v>
      </c>
      <c r="O569">
        <v>0</v>
      </c>
      <c r="P569" t="s">
        <v>26</v>
      </c>
      <c r="Q569">
        <f t="shared" si="68"/>
        <v>0</v>
      </c>
      <c r="R569">
        <f t="shared" si="69"/>
        <v>0</v>
      </c>
      <c r="S569">
        <f t="shared" si="70"/>
        <v>1</v>
      </c>
      <c r="T569" t="s">
        <v>27</v>
      </c>
      <c r="U569">
        <f t="shared" si="71"/>
        <v>0</v>
      </c>
      <c r="V569">
        <v>8.1318247850071952</v>
      </c>
      <c r="W569">
        <v>7.8244459308776193</v>
      </c>
      <c r="X569">
        <v>11.719939634354555</v>
      </c>
      <c r="Y569" t="s">
        <v>23</v>
      </c>
    </row>
    <row r="570" spans="1:25" x14ac:dyDescent="0.3">
      <c r="A570" t="s">
        <v>599</v>
      </c>
      <c r="B570" t="s">
        <v>48</v>
      </c>
      <c r="C570">
        <f t="shared" si="64"/>
        <v>0</v>
      </c>
      <c r="D570" t="s">
        <v>19</v>
      </c>
      <c r="E570">
        <f t="shared" si="65"/>
        <v>0</v>
      </c>
      <c r="F570">
        <v>0</v>
      </c>
      <c r="G570" t="s">
        <v>20</v>
      </c>
      <c r="H570">
        <f t="shared" si="66"/>
        <v>1</v>
      </c>
      <c r="I570" t="s">
        <v>19</v>
      </c>
      <c r="J570">
        <f t="shared" si="67"/>
        <v>0</v>
      </c>
      <c r="K570">
        <v>2378</v>
      </c>
      <c r="L570">
        <v>0</v>
      </c>
      <c r="M570">
        <v>9000</v>
      </c>
      <c r="N570">
        <v>360</v>
      </c>
      <c r="O570">
        <v>1</v>
      </c>
      <c r="P570" t="s">
        <v>21</v>
      </c>
      <c r="Q570">
        <f t="shared" si="68"/>
        <v>1</v>
      </c>
      <c r="R570">
        <f t="shared" si="69"/>
        <v>0</v>
      </c>
      <c r="S570">
        <f t="shared" si="70"/>
        <v>0</v>
      </c>
      <c r="T570" t="s">
        <v>27</v>
      </c>
      <c r="U570">
        <f t="shared" si="71"/>
        <v>0</v>
      </c>
      <c r="V570">
        <v>7.7744355103029577</v>
      </c>
      <c r="W570">
        <v>0</v>
      </c>
      <c r="X570">
        <v>9.1049798563183568</v>
      </c>
      <c r="Y570" t="s">
        <v>23</v>
      </c>
    </row>
    <row r="571" spans="1:25" x14ac:dyDescent="0.3">
      <c r="A571" t="s">
        <v>600</v>
      </c>
      <c r="B571" t="s">
        <v>18</v>
      </c>
      <c r="C571">
        <f t="shared" si="64"/>
        <v>1</v>
      </c>
      <c r="D571" t="s">
        <v>25</v>
      </c>
      <c r="E571">
        <f t="shared" si="65"/>
        <v>1</v>
      </c>
      <c r="F571">
        <v>0</v>
      </c>
      <c r="G571" t="s">
        <v>20</v>
      </c>
      <c r="H571">
        <f t="shared" si="66"/>
        <v>1</v>
      </c>
      <c r="I571" t="s">
        <v>19</v>
      </c>
      <c r="J571">
        <f t="shared" si="67"/>
        <v>0</v>
      </c>
      <c r="K571">
        <v>3166</v>
      </c>
      <c r="L571">
        <v>2064</v>
      </c>
      <c r="M571">
        <v>104000</v>
      </c>
      <c r="N571">
        <v>360</v>
      </c>
      <c r="O571">
        <v>0</v>
      </c>
      <c r="P571" t="s">
        <v>21</v>
      </c>
      <c r="Q571">
        <f t="shared" si="68"/>
        <v>1</v>
      </c>
      <c r="R571">
        <f t="shared" si="69"/>
        <v>0</v>
      </c>
      <c r="S571">
        <f t="shared" si="70"/>
        <v>0</v>
      </c>
      <c r="T571" t="s">
        <v>27</v>
      </c>
      <c r="U571">
        <f t="shared" si="71"/>
        <v>0</v>
      </c>
      <c r="V571">
        <v>8.0605400465386392</v>
      </c>
      <c r="W571">
        <v>7.6328855053951328</v>
      </c>
      <c r="X571">
        <v>11.552146178123509</v>
      </c>
      <c r="Y571" t="s">
        <v>23</v>
      </c>
    </row>
    <row r="572" spans="1:25" x14ac:dyDescent="0.3">
      <c r="A572" t="s">
        <v>601</v>
      </c>
      <c r="B572" t="s">
        <v>18</v>
      </c>
      <c r="C572">
        <f t="shared" si="64"/>
        <v>1</v>
      </c>
      <c r="D572" t="s">
        <v>25</v>
      </c>
      <c r="E572">
        <f t="shared" si="65"/>
        <v>1</v>
      </c>
      <c r="F572">
        <v>1</v>
      </c>
      <c r="G572" t="s">
        <v>20</v>
      </c>
      <c r="H572">
        <f t="shared" si="66"/>
        <v>1</v>
      </c>
      <c r="I572" t="s">
        <v>19</v>
      </c>
      <c r="J572">
        <f t="shared" si="67"/>
        <v>0</v>
      </c>
      <c r="K572">
        <v>3417</v>
      </c>
      <c r="L572">
        <v>1750</v>
      </c>
      <c r="M572">
        <v>186000</v>
      </c>
      <c r="N572">
        <v>360</v>
      </c>
      <c r="O572">
        <v>1</v>
      </c>
      <c r="P572" t="s">
        <v>21</v>
      </c>
      <c r="Q572">
        <f t="shared" si="68"/>
        <v>1</v>
      </c>
      <c r="R572">
        <f t="shared" si="69"/>
        <v>0</v>
      </c>
      <c r="S572">
        <f t="shared" si="70"/>
        <v>0</v>
      </c>
      <c r="T572" t="s">
        <v>22</v>
      </c>
      <c r="U572">
        <f t="shared" si="71"/>
        <v>1</v>
      </c>
      <c r="V572">
        <v>8.136810863675537</v>
      </c>
      <c r="W572">
        <v>7.467942332285852</v>
      </c>
      <c r="X572">
        <v>12.133501952695338</v>
      </c>
      <c r="Y572" t="s">
        <v>23</v>
      </c>
    </row>
    <row r="573" spans="1:25" x14ac:dyDescent="0.3">
      <c r="A573" t="s">
        <v>602</v>
      </c>
      <c r="B573" t="s">
        <v>18</v>
      </c>
      <c r="C573">
        <f t="shared" si="64"/>
        <v>1</v>
      </c>
      <c r="D573" t="s">
        <v>25</v>
      </c>
      <c r="E573">
        <f t="shared" si="65"/>
        <v>1</v>
      </c>
      <c r="F573">
        <v>0</v>
      </c>
      <c r="G573" t="s">
        <v>20</v>
      </c>
      <c r="H573">
        <f t="shared" si="66"/>
        <v>1</v>
      </c>
      <c r="I573" t="s">
        <v>19</v>
      </c>
      <c r="J573">
        <f t="shared" si="67"/>
        <v>0</v>
      </c>
      <c r="K573">
        <v>5116</v>
      </c>
      <c r="L573">
        <v>1451</v>
      </c>
      <c r="M573">
        <v>165000</v>
      </c>
      <c r="N573">
        <v>360</v>
      </c>
      <c r="O573">
        <v>0</v>
      </c>
      <c r="P573" t="s">
        <v>21</v>
      </c>
      <c r="Q573">
        <f t="shared" si="68"/>
        <v>1</v>
      </c>
      <c r="R573">
        <f t="shared" si="69"/>
        <v>0</v>
      </c>
      <c r="S573">
        <f t="shared" si="70"/>
        <v>0</v>
      </c>
      <c r="T573" t="s">
        <v>27</v>
      </c>
      <c r="U573">
        <f t="shared" si="71"/>
        <v>0</v>
      </c>
      <c r="V573">
        <v>8.5403236088050924</v>
      </c>
      <c r="W573">
        <v>7.2806971953847412</v>
      </c>
      <c r="X573">
        <v>12.013700752882718</v>
      </c>
      <c r="Y573" t="s">
        <v>23</v>
      </c>
    </row>
    <row r="574" spans="1:25" x14ac:dyDescent="0.3">
      <c r="A574" t="s">
        <v>603</v>
      </c>
      <c r="B574" t="s">
        <v>18</v>
      </c>
      <c r="C574">
        <f t="shared" si="64"/>
        <v>1</v>
      </c>
      <c r="D574" t="s">
        <v>25</v>
      </c>
      <c r="E574">
        <f t="shared" si="65"/>
        <v>1</v>
      </c>
      <c r="F574">
        <v>2</v>
      </c>
      <c r="G574" t="s">
        <v>20</v>
      </c>
      <c r="H574">
        <f t="shared" si="66"/>
        <v>1</v>
      </c>
      <c r="I574" t="s">
        <v>19</v>
      </c>
      <c r="J574">
        <f t="shared" si="67"/>
        <v>0</v>
      </c>
      <c r="K574">
        <v>16666</v>
      </c>
      <c r="L574">
        <v>0</v>
      </c>
      <c r="M574">
        <v>275000</v>
      </c>
      <c r="N574">
        <v>360</v>
      </c>
      <c r="O574">
        <v>1</v>
      </c>
      <c r="P574" t="s">
        <v>21</v>
      </c>
      <c r="Q574">
        <f t="shared" si="68"/>
        <v>1</v>
      </c>
      <c r="R574">
        <f t="shared" si="69"/>
        <v>0</v>
      </c>
      <c r="S574">
        <f t="shared" si="70"/>
        <v>0</v>
      </c>
      <c r="T574" t="s">
        <v>22</v>
      </c>
      <c r="U574">
        <f t="shared" si="71"/>
        <v>1</v>
      </c>
      <c r="V574">
        <v>9.7211859955421769</v>
      </c>
      <c r="W574">
        <v>0</v>
      </c>
      <c r="X574">
        <v>12.524526376648708</v>
      </c>
      <c r="Y574" t="s">
        <v>23</v>
      </c>
    </row>
    <row r="575" spans="1:25" x14ac:dyDescent="0.3">
      <c r="A575" t="s">
        <v>604</v>
      </c>
      <c r="B575" t="s">
        <v>18</v>
      </c>
      <c r="C575">
        <f t="shared" si="64"/>
        <v>1</v>
      </c>
      <c r="D575" t="s">
        <v>25</v>
      </c>
      <c r="E575">
        <f t="shared" si="65"/>
        <v>1</v>
      </c>
      <c r="F575">
        <v>2</v>
      </c>
      <c r="G575" t="s">
        <v>30</v>
      </c>
      <c r="H575">
        <f t="shared" si="66"/>
        <v>0</v>
      </c>
      <c r="I575" t="s">
        <v>19</v>
      </c>
      <c r="J575">
        <f t="shared" si="67"/>
        <v>0</v>
      </c>
      <c r="K575">
        <v>6125</v>
      </c>
      <c r="L575">
        <v>1625</v>
      </c>
      <c r="M575">
        <v>187000</v>
      </c>
      <c r="N575">
        <v>480</v>
      </c>
      <c r="O575">
        <v>1</v>
      </c>
      <c r="P575" t="s">
        <v>35</v>
      </c>
      <c r="Q575">
        <f t="shared" si="68"/>
        <v>0</v>
      </c>
      <c r="R575">
        <f t="shared" si="69"/>
        <v>1</v>
      </c>
      <c r="S575">
        <f t="shared" si="70"/>
        <v>0</v>
      </c>
      <c r="T575" t="s">
        <v>27</v>
      </c>
      <c r="U575">
        <f t="shared" si="71"/>
        <v>0</v>
      </c>
      <c r="V575">
        <v>8.7202972873927198</v>
      </c>
      <c r="W575">
        <v>7.3938782901077564</v>
      </c>
      <c r="X575">
        <v>12.138863895836725</v>
      </c>
      <c r="Y575" t="s">
        <v>23</v>
      </c>
    </row>
    <row r="576" spans="1:25" x14ac:dyDescent="0.3">
      <c r="A576" t="s">
        <v>605</v>
      </c>
      <c r="B576" t="s">
        <v>18</v>
      </c>
      <c r="C576">
        <f t="shared" si="64"/>
        <v>1</v>
      </c>
      <c r="D576" t="s">
        <v>25</v>
      </c>
      <c r="E576">
        <f t="shared" si="65"/>
        <v>1</v>
      </c>
      <c r="F576">
        <v>3</v>
      </c>
      <c r="G576" t="s">
        <v>20</v>
      </c>
      <c r="H576">
        <f t="shared" si="66"/>
        <v>1</v>
      </c>
      <c r="I576" t="s">
        <v>19</v>
      </c>
      <c r="J576">
        <f t="shared" si="67"/>
        <v>0</v>
      </c>
      <c r="K576">
        <v>6406</v>
      </c>
      <c r="L576">
        <v>0</v>
      </c>
      <c r="M576">
        <v>150000</v>
      </c>
      <c r="N576">
        <v>360</v>
      </c>
      <c r="O576">
        <v>1</v>
      </c>
      <c r="P576" t="s">
        <v>35</v>
      </c>
      <c r="Q576">
        <f t="shared" si="68"/>
        <v>0</v>
      </c>
      <c r="R576">
        <f t="shared" si="69"/>
        <v>1</v>
      </c>
      <c r="S576">
        <f t="shared" si="70"/>
        <v>0</v>
      </c>
      <c r="T576" t="s">
        <v>27</v>
      </c>
      <c r="U576">
        <f t="shared" si="71"/>
        <v>0</v>
      </c>
      <c r="V576">
        <v>8.765146421639022</v>
      </c>
      <c r="W576">
        <v>0</v>
      </c>
      <c r="X576">
        <v>11.918390573078392</v>
      </c>
      <c r="Y576" t="s">
        <v>23</v>
      </c>
    </row>
    <row r="577" spans="1:25" x14ac:dyDescent="0.3">
      <c r="A577" t="s">
        <v>606</v>
      </c>
      <c r="B577" t="s">
        <v>18</v>
      </c>
      <c r="C577">
        <f t="shared" si="64"/>
        <v>1</v>
      </c>
      <c r="D577" t="s">
        <v>25</v>
      </c>
      <c r="E577">
        <f t="shared" si="65"/>
        <v>1</v>
      </c>
      <c r="F577">
        <v>2</v>
      </c>
      <c r="G577" t="s">
        <v>20</v>
      </c>
      <c r="H577">
        <f t="shared" si="66"/>
        <v>1</v>
      </c>
      <c r="I577" t="s">
        <v>19</v>
      </c>
      <c r="J577">
        <f t="shared" si="67"/>
        <v>0</v>
      </c>
      <c r="K577">
        <v>3159</v>
      </c>
      <c r="L577">
        <v>461</v>
      </c>
      <c r="M577">
        <v>108000</v>
      </c>
      <c r="N577">
        <v>84</v>
      </c>
      <c r="O577">
        <v>1</v>
      </c>
      <c r="P577" t="s">
        <v>21</v>
      </c>
      <c r="Q577">
        <f t="shared" si="68"/>
        <v>1</v>
      </c>
      <c r="R577">
        <f t="shared" si="69"/>
        <v>0</v>
      </c>
      <c r="S577">
        <f t="shared" si="70"/>
        <v>0</v>
      </c>
      <c r="T577" t="s">
        <v>22</v>
      </c>
      <c r="U577">
        <f t="shared" si="71"/>
        <v>1</v>
      </c>
      <c r="V577">
        <v>8.0583273065809582</v>
      </c>
      <c r="W577">
        <v>6.1355648910817386</v>
      </c>
      <c r="X577">
        <v>11.589886506106357</v>
      </c>
      <c r="Y577" t="s">
        <v>43</v>
      </c>
    </row>
    <row r="578" spans="1:25" x14ac:dyDescent="0.3">
      <c r="A578" t="s">
        <v>607</v>
      </c>
      <c r="B578" t="s">
        <v>18</v>
      </c>
      <c r="C578">
        <f t="shared" si="64"/>
        <v>1</v>
      </c>
      <c r="D578" t="s">
        <v>25</v>
      </c>
      <c r="E578">
        <f t="shared" si="65"/>
        <v>1</v>
      </c>
      <c r="F578">
        <v>0</v>
      </c>
      <c r="G578" t="s">
        <v>20</v>
      </c>
      <c r="H578">
        <f t="shared" si="66"/>
        <v>1</v>
      </c>
      <c r="I578" t="s">
        <v>19</v>
      </c>
      <c r="J578">
        <f t="shared" si="67"/>
        <v>0</v>
      </c>
      <c r="K578">
        <v>3087</v>
      </c>
      <c r="L578">
        <v>2210</v>
      </c>
      <c r="M578">
        <v>136000</v>
      </c>
      <c r="N578">
        <v>360</v>
      </c>
      <c r="O578">
        <v>0</v>
      </c>
      <c r="P578" t="s">
        <v>35</v>
      </c>
      <c r="Q578">
        <f t="shared" si="68"/>
        <v>0</v>
      </c>
      <c r="R578">
        <f t="shared" si="69"/>
        <v>1</v>
      </c>
      <c r="S578">
        <f t="shared" si="70"/>
        <v>0</v>
      </c>
      <c r="T578" t="s">
        <v>27</v>
      </c>
      <c r="U578">
        <f t="shared" si="71"/>
        <v>0</v>
      </c>
      <c r="V578">
        <v>8.0352789111446672</v>
      </c>
      <c r="W578">
        <v>7.7012001808574464</v>
      </c>
      <c r="X578">
        <v>11.820410164718188</v>
      </c>
      <c r="Y578" t="s">
        <v>23</v>
      </c>
    </row>
    <row r="579" spans="1:25" x14ac:dyDescent="0.3">
      <c r="A579" t="s">
        <v>608</v>
      </c>
      <c r="B579" t="s">
        <v>18</v>
      </c>
      <c r="C579">
        <f t="shared" ref="C579:C615" si="72">IF(B579="Male",1,0)</f>
        <v>1</v>
      </c>
      <c r="D579" t="s">
        <v>19</v>
      </c>
      <c r="E579">
        <f t="shared" ref="E579:E615" si="73">IF(D579="No",0,1)</f>
        <v>0</v>
      </c>
      <c r="F579">
        <v>0</v>
      </c>
      <c r="G579" t="s">
        <v>20</v>
      </c>
      <c r="H579">
        <f t="shared" ref="H579:H615" si="74">IF(G579="Graduate",1,0)</f>
        <v>1</v>
      </c>
      <c r="I579" t="s">
        <v>19</v>
      </c>
      <c r="J579">
        <f t="shared" ref="J579:J615" si="75">IF(I579="No",0,1)</f>
        <v>0</v>
      </c>
      <c r="K579">
        <v>3229</v>
      </c>
      <c r="L579">
        <v>2739</v>
      </c>
      <c r="M579">
        <v>110000</v>
      </c>
      <c r="N579">
        <v>360</v>
      </c>
      <c r="O579">
        <v>1</v>
      </c>
      <c r="P579" t="s">
        <v>21</v>
      </c>
      <c r="Q579">
        <f t="shared" ref="Q579:Q615" si="76">IF(P579="Urban",1,0)</f>
        <v>1</v>
      </c>
      <c r="R579">
        <f t="shared" ref="R579:R615" si="77">IF(P579="Semiurban",1,0)</f>
        <v>0</v>
      </c>
      <c r="S579">
        <f t="shared" ref="S579:S615" si="78">IF(P579="Rural",1,0)</f>
        <v>0</v>
      </c>
      <c r="T579" t="s">
        <v>22</v>
      </c>
      <c r="U579">
        <f t="shared" ref="U579:U615" si="79">IF(T579="Y",1,0)</f>
        <v>1</v>
      </c>
      <c r="V579">
        <v>8.0802374162167023</v>
      </c>
      <c r="W579">
        <v>7.9157131993821164</v>
      </c>
      <c r="X579">
        <v>11.608235644774552</v>
      </c>
      <c r="Y579" t="s">
        <v>23</v>
      </c>
    </row>
    <row r="580" spans="1:25" x14ac:dyDescent="0.3">
      <c r="A580" t="s">
        <v>609</v>
      </c>
      <c r="B580" t="s">
        <v>18</v>
      </c>
      <c r="C580">
        <f t="shared" si="72"/>
        <v>1</v>
      </c>
      <c r="D580" t="s">
        <v>25</v>
      </c>
      <c r="E580">
        <f t="shared" si="73"/>
        <v>1</v>
      </c>
      <c r="F580">
        <v>1</v>
      </c>
      <c r="G580" t="s">
        <v>20</v>
      </c>
      <c r="H580">
        <f t="shared" si="74"/>
        <v>1</v>
      </c>
      <c r="I580" t="s">
        <v>19</v>
      </c>
      <c r="J580">
        <f t="shared" si="75"/>
        <v>0</v>
      </c>
      <c r="K580">
        <v>1782</v>
      </c>
      <c r="L580">
        <v>2232</v>
      </c>
      <c r="M580">
        <v>107000</v>
      </c>
      <c r="N580">
        <v>360</v>
      </c>
      <c r="O580">
        <v>1</v>
      </c>
      <c r="P580" t="s">
        <v>26</v>
      </c>
      <c r="Q580">
        <f t="shared" si="76"/>
        <v>0</v>
      </c>
      <c r="R580">
        <f t="shared" si="77"/>
        <v>0</v>
      </c>
      <c r="S580">
        <f t="shared" si="78"/>
        <v>1</v>
      </c>
      <c r="T580" t="s">
        <v>22</v>
      </c>
      <c r="U580">
        <f t="shared" si="79"/>
        <v>1</v>
      </c>
      <c r="V580">
        <v>7.4860526178631401</v>
      </c>
      <c r="W580">
        <v>7.7111012518401578</v>
      </c>
      <c r="X580">
        <v>11.580584113444043</v>
      </c>
      <c r="Y580" t="s">
        <v>23</v>
      </c>
    </row>
    <row r="581" spans="1:25" x14ac:dyDescent="0.3">
      <c r="A581" t="s">
        <v>610</v>
      </c>
      <c r="B581" t="s">
        <v>18</v>
      </c>
      <c r="C581">
        <f t="shared" si="72"/>
        <v>1</v>
      </c>
      <c r="D581" t="s">
        <v>19</v>
      </c>
      <c r="E581">
        <f t="shared" si="73"/>
        <v>0</v>
      </c>
      <c r="F581">
        <v>0</v>
      </c>
      <c r="G581" t="s">
        <v>20</v>
      </c>
      <c r="H581">
        <f t="shared" si="74"/>
        <v>1</v>
      </c>
      <c r="I581" t="s">
        <v>19</v>
      </c>
      <c r="J581">
        <f t="shared" si="75"/>
        <v>0</v>
      </c>
      <c r="K581">
        <v>3182</v>
      </c>
      <c r="L581">
        <v>2917</v>
      </c>
      <c r="M581">
        <v>161000</v>
      </c>
      <c r="N581">
        <v>360</v>
      </c>
      <c r="O581">
        <v>1</v>
      </c>
      <c r="P581" t="s">
        <v>21</v>
      </c>
      <c r="Q581">
        <f t="shared" si="76"/>
        <v>1</v>
      </c>
      <c r="R581">
        <f t="shared" si="77"/>
        <v>0</v>
      </c>
      <c r="S581">
        <f t="shared" si="78"/>
        <v>0</v>
      </c>
      <c r="T581" t="s">
        <v>22</v>
      </c>
      <c r="U581">
        <f t="shared" si="79"/>
        <v>1</v>
      </c>
      <c r="V581">
        <v>8.065579427282092</v>
      </c>
      <c r="W581">
        <v>7.9786537290827306</v>
      </c>
      <c r="X581">
        <v>11.9891596439666</v>
      </c>
      <c r="Y581" t="s">
        <v>23</v>
      </c>
    </row>
    <row r="582" spans="1:25" x14ac:dyDescent="0.3">
      <c r="A582" t="s">
        <v>611</v>
      </c>
      <c r="B582" t="s">
        <v>18</v>
      </c>
      <c r="C582">
        <f t="shared" si="72"/>
        <v>1</v>
      </c>
      <c r="D582" t="s">
        <v>25</v>
      </c>
      <c r="E582">
        <f t="shared" si="73"/>
        <v>1</v>
      </c>
      <c r="F582">
        <v>2</v>
      </c>
      <c r="G582" t="s">
        <v>20</v>
      </c>
      <c r="H582">
        <f t="shared" si="74"/>
        <v>1</v>
      </c>
      <c r="I582" t="s">
        <v>19</v>
      </c>
      <c r="J582">
        <f t="shared" si="75"/>
        <v>0</v>
      </c>
      <c r="K582">
        <v>6540</v>
      </c>
      <c r="L582">
        <v>0</v>
      </c>
      <c r="M582">
        <v>205000</v>
      </c>
      <c r="N582">
        <v>360</v>
      </c>
      <c r="O582">
        <v>1</v>
      </c>
      <c r="P582" t="s">
        <v>35</v>
      </c>
      <c r="Q582">
        <f t="shared" si="76"/>
        <v>0</v>
      </c>
      <c r="R582">
        <f t="shared" si="77"/>
        <v>1</v>
      </c>
      <c r="S582">
        <f t="shared" si="78"/>
        <v>0</v>
      </c>
      <c r="T582" t="s">
        <v>22</v>
      </c>
      <c r="U582">
        <f t="shared" si="79"/>
        <v>1</v>
      </c>
      <c r="V582">
        <v>8.7858453379612129</v>
      </c>
      <c r="W582">
        <v>0</v>
      </c>
      <c r="X582">
        <v>12.230765258120545</v>
      </c>
      <c r="Y582" t="s">
        <v>23</v>
      </c>
    </row>
    <row r="583" spans="1:25" x14ac:dyDescent="0.3">
      <c r="A583" t="s">
        <v>612</v>
      </c>
      <c r="B583" t="s">
        <v>18</v>
      </c>
      <c r="C583">
        <f t="shared" si="72"/>
        <v>1</v>
      </c>
      <c r="D583" t="s">
        <v>19</v>
      </c>
      <c r="E583">
        <f t="shared" si="73"/>
        <v>0</v>
      </c>
      <c r="F583">
        <v>0</v>
      </c>
      <c r="G583" t="s">
        <v>20</v>
      </c>
      <c r="H583">
        <f t="shared" si="74"/>
        <v>1</v>
      </c>
      <c r="I583" t="s">
        <v>19</v>
      </c>
      <c r="J583">
        <f t="shared" si="75"/>
        <v>0</v>
      </c>
      <c r="K583">
        <v>1836</v>
      </c>
      <c r="L583">
        <v>33837</v>
      </c>
      <c r="M583">
        <v>90000</v>
      </c>
      <c r="N583">
        <v>360</v>
      </c>
      <c r="O583">
        <v>1</v>
      </c>
      <c r="P583" t="s">
        <v>21</v>
      </c>
      <c r="Q583">
        <f t="shared" si="76"/>
        <v>1</v>
      </c>
      <c r="R583">
        <f t="shared" si="77"/>
        <v>0</v>
      </c>
      <c r="S583">
        <f t="shared" si="78"/>
        <v>0</v>
      </c>
      <c r="T583" t="s">
        <v>27</v>
      </c>
      <c r="U583">
        <f t="shared" si="79"/>
        <v>0</v>
      </c>
      <c r="V583">
        <v>7.5158890852151252</v>
      </c>
      <c r="W583">
        <v>10.42933971031874</v>
      </c>
      <c r="X583">
        <v>11.407564949312402</v>
      </c>
      <c r="Y583" t="s">
        <v>23</v>
      </c>
    </row>
    <row r="584" spans="1:25" x14ac:dyDescent="0.3">
      <c r="A584" t="s">
        <v>613</v>
      </c>
      <c r="B584" t="s">
        <v>48</v>
      </c>
      <c r="C584">
        <f t="shared" si="72"/>
        <v>0</v>
      </c>
      <c r="D584" t="s">
        <v>25</v>
      </c>
      <c r="E584">
        <f t="shared" si="73"/>
        <v>1</v>
      </c>
      <c r="F584">
        <v>0</v>
      </c>
      <c r="G584" t="s">
        <v>20</v>
      </c>
      <c r="H584">
        <f t="shared" si="74"/>
        <v>1</v>
      </c>
      <c r="I584" t="s">
        <v>19</v>
      </c>
      <c r="J584">
        <f t="shared" si="75"/>
        <v>0</v>
      </c>
      <c r="K584">
        <v>3166</v>
      </c>
      <c r="L584">
        <v>0</v>
      </c>
      <c r="M584">
        <v>36000</v>
      </c>
      <c r="N584">
        <v>360</v>
      </c>
      <c r="O584">
        <v>1</v>
      </c>
      <c r="P584" t="s">
        <v>35</v>
      </c>
      <c r="Q584">
        <f t="shared" si="76"/>
        <v>0</v>
      </c>
      <c r="R584">
        <f t="shared" si="77"/>
        <v>1</v>
      </c>
      <c r="S584">
        <f t="shared" si="78"/>
        <v>0</v>
      </c>
      <c r="T584" t="s">
        <v>22</v>
      </c>
      <c r="U584">
        <f t="shared" si="79"/>
        <v>1</v>
      </c>
      <c r="V584">
        <v>8.0605400465386392</v>
      </c>
      <c r="W584">
        <v>0</v>
      </c>
      <c r="X584">
        <v>10.491274217438248</v>
      </c>
      <c r="Y584" t="s">
        <v>23</v>
      </c>
    </row>
    <row r="585" spans="1:25" x14ac:dyDescent="0.3">
      <c r="A585" t="s">
        <v>614</v>
      </c>
      <c r="B585" t="s">
        <v>18</v>
      </c>
      <c r="C585">
        <f t="shared" si="72"/>
        <v>1</v>
      </c>
      <c r="D585" t="s">
        <v>25</v>
      </c>
      <c r="E585">
        <f t="shared" si="73"/>
        <v>1</v>
      </c>
      <c r="F585">
        <v>1</v>
      </c>
      <c r="G585" t="s">
        <v>20</v>
      </c>
      <c r="H585">
        <f t="shared" si="74"/>
        <v>1</v>
      </c>
      <c r="I585" t="s">
        <v>19</v>
      </c>
      <c r="J585">
        <f t="shared" si="75"/>
        <v>0</v>
      </c>
      <c r="K585">
        <v>1880</v>
      </c>
      <c r="L585">
        <v>0</v>
      </c>
      <c r="M585">
        <v>61000</v>
      </c>
      <c r="N585">
        <v>360</v>
      </c>
      <c r="O585">
        <v>1</v>
      </c>
      <c r="P585" t="s">
        <v>26</v>
      </c>
      <c r="Q585">
        <f t="shared" si="76"/>
        <v>0</v>
      </c>
      <c r="R585">
        <f t="shared" si="77"/>
        <v>0</v>
      </c>
      <c r="S585">
        <f t="shared" si="78"/>
        <v>1</v>
      </c>
      <c r="T585" t="s">
        <v>27</v>
      </c>
      <c r="U585">
        <f t="shared" si="79"/>
        <v>0</v>
      </c>
      <c r="V585">
        <v>7.5395588293010301</v>
      </c>
      <c r="W585">
        <v>0</v>
      </c>
      <c r="X585">
        <v>11.018629143155449</v>
      </c>
      <c r="Y585" t="s">
        <v>23</v>
      </c>
    </row>
    <row r="586" spans="1:25" x14ac:dyDescent="0.3">
      <c r="A586" t="s">
        <v>615</v>
      </c>
      <c r="B586" t="s">
        <v>18</v>
      </c>
      <c r="C586">
        <f t="shared" si="72"/>
        <v>1</v>
      </c>
      <c r="D586" t="s">
        <v>25</v>
      </c>
      <c r="E586">
        <f t="shared" si="73"/>
        <v>1</v>
      </c>
      <c r="F586">
        <v>1</v>
      </c>
      <c r="G586" t="s">
        <v>20</v>
      </c>
      <c r="H586">
        <f t="shared" si="74"/>
        <v>1</v>
      </c>
      <c r="I586" t="s">
        <v>19</v>
      </c>
      <c r="J586">
        <f t="shared" si="75"/>
        <v>0</v>
      </c>
      <c r="K586">
        <v>2787</v>
      </c>
      <c r="L586">
        <v>1917</v>
      </c>
      <c r="M586">
        <v>146000</v>
      </c>
      <c r="N586">
        <v>360</v>
      </c>
      <c r="O586">
        <v>0</v>
      </c>
      <c r="P586" t="s">
        <v>26</v>
      </c>
      <c r="Q586">
        <f t="shared" si="76"/>
        <v>0</v>
      </c>
      <c r="R586">
        <f t="shared" si="77"/>
        <v>0</v>
      </c>
      <c r="S586">
        <f t="shared" si="78"/>
        <v>1</v>
      </c>
      <c r="T586" t="s">
        <v>27</v>
      </c>
      <c r="U586">
        <f t="shared" si="79"/>
        <v>0</v>
      </c>
      <c r="V586">
        <v>7.9330797718804149</v>
      </c>
      <c r="W586">
        <v>7.5590382554433839</v>
      </c>
      <c r="X586">
        <v>11.891361900690473</v>
      </c>
      <c r="Y586" t="s">
        <v>23</v>
      </c>
    </row>
    <row r="587" spans="1:25" x14ac:dyDescent="0.3">
      <c r="A587" t="s">
        <v>616</v>
      </c>
      <c r="B587" t="s">
        <v>18</v>
      </c>
      <c r="C587">
        <f t="shared" si="72"/>
        <v>1</v>
      </c>
      <c r="D587" t="s">
        <v>25</v>
      </c>
      <c r="E587">
        <f t="shared" si="73"/>
        <v>1</v>
      </c>
      <c r="F587">
        <v>1</v>
      </c>
      <c r="G587" t="s">
        <v>20</v>
      </c>
      <c r="H587">
        <f t="shared" si="74"/>
        <v>1</v>
      </c>
      <c r="I587" t="s">
        <v>19</v>
      </c>
      <c r="J587">
        <f t="shared" si="75"/>
        <v>0</v>
      </c>
      <c r="K587">
        <v>4283</v>
      </c>
      <c r="L587">
        <v>3000</v>
      </c>
      <c r="M587">
        <v>172000</v>
      </c>
      <c r="N587">
        <v>84</v>
      </c>
      <c r="O587">
        <v>1</v>
      </c>
      <c r="P587" t="s">
        <v>26</v>
      </c>
      <c r="Q587">
        <f t="shared" si="76"/>
        <v>0</v>
      </c>
      <c r="R587">
        <f t="shared" si="77"/>
        <v>0</v>
      </c>
      <c r="S587">
        <f t="shared" si="78"/>
        <v>1</v>
      </c>
      <c r="T587" t="s">
        <v>27</v>
      </c>
      <c r="U587">
        <f t="shared" si="79"/>
        <v>0</v>
      </c>
      <c r="V587">
        <v>8.3626424315676395</v>
      </c>
      <c r="W587">
        <v>8.006700845440367</v>
      </c>
      <c r="X587">
        <v>12.05524975579559</v>
      </c>
      <c r="Y587" t="s">
        <v>43</v>
      </c>
    </row>
    <row r="588" spans="1:25" x14ac:dyDescent="0.3">
      <c r="A588" t="s">
        <v>617</v>
      </c>
      <c r="B588" t="s">
        <v>18</v>
      </c>
      <c r="C588">
        <f t="shared" si="72"/>
        <v>1</v>
      </c>
      <c r="D588" t="s">
        <v>25</v>
      </c>
      <c r="E588">
        <f t="shared" si="73"/>
        <v>1</v>
      </c>
      <c r="F588">
        <v>0</v>
      </c>
      <c r="G588" t="s">
        <v>20</v>
      </c>
      <c r="H588">
        <f t="shared" si="74"/>
        <v>1</v>
      </c>
      <c r="I588" t="s">
        <v>19</v>
      </c>
      <c r="J588">
        <f t="shared" si="75"/>
        <v>0</v>
      </c>
      <c r="K588">
        <v>2297</v>
      </c>
      <c r="L588">
        <v>1522</v>
      </c>
      <c r="M588">
        <v>104000</v>
      </c>
      <c r="N588">
        <v>360</v>
      </c>
      <c r="O588">
        <v>1</v>
      </c>
      <c r="P588" t="s">
        <v>21</v>
      </c>
      <c r="Q588">
        <f t="shared" si="76"/>
        <v>1</v>
      </c>
      <c r="R588">
        <f t="shared" si="77"/>
        <v>0</v>
      </c>
      <c r="S588">
        <f t="shared" si="78"/>
        <v>0</v>
      </c>
      <c r="T588" t="s">
        <v>22</v>
      </c>
      <c r="U588">
        <f t="shared" si="79"/>
        <v>1</v>
      </c>
      <c r="V588">
        <v>7.7397944584087011</v>
      </c>
      <c r="W588">
        <v>7.3284373528951621</v>
      </c>
      <c r="X588">
        <v>11.552146178123509</v>
      </c>
      <c r="Y588" t="s">
        <v>23</v>
      </c>
    </row>
    <row r="589" spans="1:25" x14ac:dyDescent="0.3">
      <c r="A589" t="s">
        <v>618</v>
      </c>
      <c r="B589" t="s">
        <v>48</v>
      </c>
      <c r="C589">
        <f t="shared" si="72"/>
        <v>0</v>
      </c>
      <c r="D589" t="s">
        <v>19</v>
      </c>
      <c r="E589">
        <f t="shared" si="73"/>
        <v>0</v>
      </c>
      <c r="F589">
        <v>0</v>
      </c>
      <c r="G589" t="s">
        <v>30</v>
      </c>
      <c r="H589">
        <f t="shared" si="74"/>
        <v>0</v>
      </c>
      <c r="I589" t="s">
        <v>19</v>
      </c>
      <c r="J589">
        <f t="shared" si="75"/>
        <v>0</v>
      </c>
      <c r="K589">
        <v>2165</v>
      </c>
      <c r="L589">
        <v>0</v>
      </c>
      <c r="M589">
        <v>70000</v>
      </c>
      <c r="N589">
        <v>360</v>
      </c>
      <c r="O589">
        <v>1</v>
      </c>
      <c r="P589" t="s">
        <v>35</v>
      </c>
      <c r="Q589">
        <f t="shared" si="76"/>
        <v>0</v>
      </c>
      <c r="R589">
        <f t="shared" si="77"/>
        <v>1</v>
      </c>
      <c r="S589">
        <f t="shared" si="78"/>
        <v>0</v>
      </c>
      <c r="T589" t="s">
        <v>22</v>
      </c>
      <c r="U589">
        <f t="shared" si="79"/>
        <v>1</v>
      </c>
      <c r="V589">
        <v>7.6806374275609359</v>
      </c>
      <c r="W589">
        <v>0</v>
      </c>
      <c r="X589">
        <v>11.156250521031495</v>
      </c>
      <c r="Y589" t="s">
        <v>23</v>
      </c>
    </row>
    <row r="590" spans="1:25" x14ac:dyDescent="0.3">
      <c r="A590" t="s">
        <v>619</v>
      </c>
      <c r="B590" t="s">
        <v>18</v>
      </c>
      <c r="C590">
        <f t="shared" si="72"/>
        <v>1</v>
      </c>
      <c r="D590" t="s">
        <v>19</v>
      </c>
      <c r="E590">
        <f t="shared" si="73"/>
        <v>0</v>
      </c>
      <c r="F590">
        <v>0</v>
      </c>
      <c r="G590" t="s">
        <v>20</v>
      </c>
      <c r="H590">
        <f t="shared" si="74"/>
        <v>1</v>
      </c>
      <c r="I590" t="s">
        <v>19</v>
      </c>
      <c r="J590">
        <f t="shared" si="75"/>
        <v>0</v>
      </c>
      <c r="K590">
        <v>4750</v>
      </c>
      <c r="L590">
        <v>0</v>
      </c>
      <c r="M590">
        <v>94000</v>
      </c>
      <c r="N590">
        <v>360</v>
      </c>
      <c r="O590">
        <v>1</v>
      </c>
      <c r="P590" t="s">
        <v>35</v>
      </c>
      <c r="Q590">
        <f t="shared" si="76"/>
        <v>0</v>
      </c>
      <c r="R590">
        <f t="shared" si="77"/>
        <v>1</v>
      </c>
      <c r="S590">
        <f t="shared" si="78"/>
        <v>0</v>
      </c>
      <c r="T590" t="s">
        <v>22</v>
      </c>
      <c r="U590">
        <f t="shared" si="79"/>
        <v>1</v>
      </c>
      <c r="V590">
        <v>8.4661104011869206</v>
      </c>
      <c r="W590">
        <v>0</v>
      </c>
      <c r="X590">
        <v>11.451050061252142</v>
      </c>
      <c r="Y590" t="s">
        <v>23</v>
      </c>
    </row>
    <row r="591" spans="1:25" x14ac:dyDescent="0.3">
      <c r="A591" t="s">
        <v>620</v>
      </c>
      <c r="B591" t="s">
        <v>18</v>
      </c>
      <c r="C591">
        <f t="shared" si="72"/>
        <v>1</v>
      </c>
      <c r="D591" t="s">
        <v>25</v>
      </c>
      <c r="E591">
        <f t="shared" si="73"/>
        <v>1</v>
      </c>
      <c r="F591">
        <v>2</v>
      </c>
      <c r="G591" t="s">
        <v>20</v>
      </c>
      <c r="H591">
        <f t="shared" si="74"/>
        <v>1</v>
      </c>
      <c r="I591" t="s">
        <v>25</v>
      </c>
      <c r="J591">
        <f t="shared" si="75"/>
        <v>1</v>
      </c>
      <c r="K591">
        <v>2726</v>
      </c>
      <c r="L591">
        <v>0</v>
      </c>
      <c r="M591">
        <v>106000</v>
      </c>
      <c r="N591">
        <v>360</v>
      </c>
      <c r="O591">
        <v>0</v>
      </c>
      <c r="P591" t="s">
        <v>35</v>
      </c>
      <c r="Q591">
        <f t="shared" si="76"/>
        <v>0</v>
      </c>
      <c r="R591">
        <f t="shared" si="77"/>
        <v>1</v>
      </c>
      <c r="S591">
        <f t="shared" si="78"/>
        <v>0</v>
      </c>
      <c r="T591" t="s">
        <v>27</v>
      </c>
      <c r="U591">
        <f t="shared" si="79"/>
        <v>0</v>
      </c>
      <c r="V591">
        <v>7.9109573828455888</v>
      </c>
      <c r="W591">
        <v>0</v>
      </c>
      <c r="X591">
        <v>11.571194373094205</v>
      </c>
      <c r="Y591" t="s">
        <v>23</v>
      </c>
    </row>
    <row r="592" spans="1:25" x14ac:dyDescent="0.3">
      <c r="A592" t="s">
        <v>621</v>
      </c>
      <c r="B592" t="s">
        <v>18</v>
      </c>
      <c r="C592">
        <f t="shared" si="72"/>
        <v>1</v>
      </c>
      <c r="D592" t="s">
        <v>25</v>
      </c>
      <c r="E592">
        <f t="shared" si="73"/>
        <v>1</v>
      </c>
      <c r="F592">
        <v>0</v>
      </c>
      <c r="G592" t="s">
        <v>20</v>
      </c>
      <c r="H592">
        <f t="shared" si="74"/>
        <v>1</v>
      </c>
      <c r="I592" t="s">
        <v>19</v>
      </c>
      <c r="J592">
        <f t="shared" si="75"/>
        <v>0</v>
      </c>
      <c r="K592">
        <v>3000</v>
      </c>
      <c r="L592">
        <v>3416</v>
      </c>
      <c r="M592">
        <v>56000</v>
      </c>
      <c r="N592">
        <v>180</v>
      </c>
      <c r="O592">
        <v>1</v>
      </c>
      <c r="P592" t="s">
        <v>35</v>
      </c>
      <c r="Q592">
        <f t="shared" si="76"/>
        <v>0</v>
      </c>
      <c r="R592">
        <f t="shared" si="77"/>
        <v>1</v>
      </c>
      <c r="S592">
        <f t="shared" si="78"/>
        <v>0</v>
      </c>
      <c r="T592" t="s">
        <v>22</v>
      </c>
      <c r="U592">
        <f t="shared" si="79"/>
        <v>1</v>
      </c>
      <c r="V592">
        <v>8.006700845440367</v>
      </c>
      <c r="W592">
        <v>8.136518252115291</v>
      </c>
      <c r="X592">
        <v>10.933106969717286</v>
      </c>
      <c r="Y592" t="s">
        <v>46</v>
      </c>
    </row>
    <row r="593" spans="1:25" x14ac:dyDescent="0.3">
      <c r="A593" t="s">
        <v>622</v>
      </c>
      <c r="B593" t="s">
        <v>18</v>
      </c>
      <c r="C593">
        <f t="shared" si="72"/>
        <v>1</v>
      </c>
      <c r="D593" t="s">
        <v>25</v>
      </c>
      <c r="E593">
        <f t="shared" si="73"/>
        <v>1</v>
      </c>
      <c r="F593">
        <v>2</v>
      </c>
      <c r="G593" t="s">
        <v>20</v>
      </c>
      <c r="H593">
        <f t="shared" si="74"/>
        <v>1</v>
      </c>
      <c r="I593" t="s">
        <v>25</v>
      </c>
      <c r="J593">
        <f t="shared" si="75"/>
        <v>1</v>
      </c>
      <c r="K593">
        <v>6000</v>
      </c>
      <c r="L593">
        <v>0</v>
      </c>
      <c r="M593">
        <v>205000</v>
      </c>
      <c r="N593">
        <v>240</v>
      </c>
      <c r="O593">
        <v>1</v>
      </c>
      <c r="P593" t="s">
        <v>35</v>
      </c>
      <c r="Q593">
        <f t="shared" si="76"/>
        <v>0</v>
      </c>
      <c r="R593">
        <f t="shared" si="77"/>
        <v>1</v>
      </c>
      <c r="S593">
        <f t="shared" si="78"/>
        <v>0</v>
      </c>
      <c r="T593" t="s">
        <v>27</v>
      </c>
      <c r="U593">
        <f t="shared" si="79"/>
        <v>0</v>
      </c>
      <c r="V593">
        <v>8.6996814009895136</v>
      </c>
      <c r="W593">
        <v>0</v>
      </c>
      <c r="X593">
        <v>12.230765258120545</v>
      </c>
      <c r="Y593" t="s">
        <v>46</v>
      </c>
    </row>
    <row r="594" spans="1:25" x14ac:dyDescent="0.3">
      <c r="A594" t="s">
        <v>623</v>
      </c>
      <c r="B594" t="s">
        <v>18</v>
      </c>
      <c r="C594">
        <f t="shared" si="72"/>
        <v>1</v>
      </c>
      <c r="D594" t="s">
        <v>19</v>
      </c>
      <c r="E594">
        <f t="shared" si="73"/>
        <v>0</v>
      </c>
      <c r="F594">
        <v>3</v>
      </c>
      <c r="G594" t="s">
        <v>20</v>
      </c>
      <c r="H594">
        <f t="shared" si="74"/>
        <v>1</v>
      </c>
      <c r="I594" t="s">
        <v>25</v>
      </c>
      <c r="J594">
        <f t="shared" si="75"/>
        <v>1</v>
      </c>
      <c r="K594">
        <v>9357</v>
      </c>
      <c r="L594">
        <v>0</v>
      </c>
      <c r="M594">
        <v>292000</v>
      </c>
      <c r="N594">
        <v>360</v>
      </c>
      <c r="O594">
        <v>1</v>
      </c>
      <c r="P594" t="s">
        <v>35</v>
      </c>
      <c r="Q594">
        <f t="shared" si="76"/>
        <v>0</v>
      </c>
      <c r="R594">
        <f t="shared" si="77"/>
        <v>1</v>
      </c>
      <c r="S594">
        <f t="shared" si="78"/>
        <v>0</v>
      </c>
      <c r="T594" t="s">
        <v>22</v>
      </c>
      <c r="U594">
        <f t="shared" si="79"/>
        <v>1</v>
      </c>
      <c r="V594">
        <v>9.1439868714261614</v>
      </c>
      <c r="W594">
        <v>0</v>
      </c>
      <c r="X594">
        <v>12.584509081250419</v>
      </c>
      <c r="Y594" t="s">
        <v>23</v>
      </c>
    </row>
    <row r="595" spans="1:25" x14ac:dyDescent="0.3">
      <c r="A595" t="s">
        <v>624</v>
      </c>
      <c r="B595" t="s">
        <v>18</v>
      </c>
      <c r="C595">
        <f t="shared" si="72"/>
        <v>1</v>
      </c>
      <c r="D595" t="s">
        <v>25</v>
      </c>
      <c r="E595">
        <f t="shared" si="73"/>
        <v>1</v>
      </c>
      <c r="F595">
        <v>0</v>
      </c>
      <c r="G595" t="s">
        <v>20</v>
      </c>
      <c r="H595">
        <f t="shared" si="74"/>
        <v>1</v>
      </c>
      <c r="I595" t="s">
        <v>19</v>
      </c>
      <c r="J595">
        <f t="shared" si="75"/>
        <v>0</v>
      </c>
      <c r="K595">
        <v>3859</v>
      </c>
      <c r="L595">
        <v>3300</v>
      </c>
      <c r="M595">
        <v>142000</v>
      </c>
      <c r="N595">
        <v>180</v>
      </c>
      <c r="O595">
        <v>1</v>
      </c>
      <c r="P595" t="s">
        <v>26</v>
      </c>
      <c r="Q595">
        <f t="shared" si="76"/>
        <v>0</v>
      </c>
      <c r="R595">
        <f t="shared" si="77"/>
        <v>0</v>
      </c>
      <c r="S595">
        <f t="shared" si="78"/>
        <v>1</v>
      </c>
      <c r="T595" t="s">
        <v>22</v>
      </c>
      <c r="U595">
        <f t="shared" si="79"/>
        <v>1</v>
      </c>
      <c r="V595">
        <v>8.258422462458876</v>
      </c>
      <c r="W595">
        <v>8.1019807318531925</v>
      </c>
      <c r="X595">
        <v>11.863582336583399</v>
      </c>
      <c r="Y595" t="s">
        <v>46</v>
      </c>
    </row>
    <row r="596" spans="1:25" x14ac:dyDescent="0.3">
      <c r="A596" t="s">
        <v>625</v>
      </c>
      <c r="B596" t="s">
        <v>18</v>
      </c>
      <c r="C596">
        <f t="shared" si="72"/>
        <v>1</v>
      </c>
      <c r="D596" t="s">
        <v>25</v>
      </c>
      <c r="E596">
        <f t="shared" si="73"/>
        <v>1</v>
      </c>
      <c r="F596">
        <v>0</v>
      </c>
      <c r="G596" t="s">
        <v>20</v>
      </c>
      <c r="H596">
        <f t="shared" si="74"/>
        <v>1</v>
      </c>
      <c r="I596" t="s">
        <v>25</v>
      </c>
      <c r="J596">
        <f t="shared" si="75"/>
        <v>1</v>
      </c>
      <c r="K596">
        <v>16120</v>
      </c>
      <c r="L596">
        <v>0</v>
      </c>
      <c r="M596">
        <v>260000</v>
      </c>
      <c r="N596">
        <v>360</v>
      </c>
      <c r="O596">
        <v>1</v>
      </c>
      <c r="P596" t="s">
        <v>21</v>
      </c>
      <c r="Q596">
        <f t="shared" si="76"/>
        <v>1</v>
      </c>
      <c r="R596">
        <f t="shared" si="77"/>
        <v>0</v>
      </c>
      <c r="S596">
        <f t="shared" si="78"/>
        <v>0</v>
      </c>
      <c r="T596" t="s">
        <v>22</v>
      </c>
      <c r="U596">
        <f t="shared" si="79"/>
        <v>1</v>
      </c>
      <c r="V596">
        <v>9.6878780488759979</v>
      </c>
      <c r="W596">
        <v>0</v>
      </c>
      <c r="X596">
        <v>12.468436909997665</v>
      </c>
      <c r="Y596" t="s">
        <v>23</v>
      </c>
    </row>
    <row r="597" spans="1:25" x14ac:dyDescent="0.3">
      <c r="A597" t="s">
        <v>626</v>
      </c>
      <c r="B597" t="s">
        <v>18</v>
      </c>
      <c r="C597">
        <f t="shared" si="72"/>
        <v>1</v>
      </c>
      <c r="D597" t="s">
        <v>19</v>
      </c>
      <c r="E597">
        <f t="shared" si="73"/>
        <v>0</v>
      </c>
      <c r="F597">
        <v>0</v>
      </c>
      <c r="G597" t="s">
        <v>30</v>
      </c>
      <c r="H597">
        <f t="shared" si="74"/>
        <v>0</v>
      </c>
      <c r="I597" t="s">
        <v>19</v>
      </c>
      <c r="J597">
        <f t="shared" si="75"/>
        <v>0</v>
      </c>
      <c r="K597">
        <v>3833</v>
      </c>
      <c r="L597">
        <v>0</v>
      </c>
      <c r="M597">
        <v>110000</v>
      </c>
      <c r="N597">
        <v>360</v>
      </c>
      <c r="O597">
        <v>1</v>
      </c>
      <c r="P597" t="s">
        <v>26</v>
      </c>
      <c r="Q597">
        <f t="shared" si="76"/>
        <v>0</v>
      </c>
      <c r="R597">
        <f t="shared" si="77"/>
        <v>0</v>
      </c>
      <c r="S597">
        <f t="shared" si="78"/>
        <v>1</v>
      </c>
      <c r="T597" t="s">
        <v>22</v>
      </c>
      <c r="U597">
        <f t="shared" si="79"/>
        <v>1</v>
      </c>
      <c r="V597">
        <v>8.2516639236055891</v>
      </c>
      <c r="W597">
        <v>0</v>
      </c>
      <c r="X597">
        <v>11.608235644774552</v>
      </c>
      <c r="Y597" t="s">
        <v>23</v>
      </c>
    </row>
    <row r="598" spans="1:25" x14ac:dyDescent="0.3">
      <c r="A598" t="s">
        <v>627</v>
      </c>
      <c r="B598" t="s">
        <v>18</v>
      </c>
      <c r="C598">
        <f t="shared" si="72"/>
        <v>1</v>
      </c>
      <c r="D598" t="s">
        <v>25</v>
      </c>
      <c r="E598">
        <f t="shared" si="73"/>
        <v>1</v>
      </c>
      <c r="F598">
        <v>2</v>
      </c>
      <c r="G598" t="s">
        <v>30</v>
      </c>
      <c r="H598">
        <f t="shared" si="74"/>
        <v>0</v>
      </c>
      <c r="I598" t="s">
        <v>25</v>
      </c>
      <c r="J598">
        <f t="shared" si="75"/>
        <v>1</v>
      </c>
      <c r="K598">
        <v>6383</v>
      </c>
      <c r="L598">
        <v>1000</v>
      </c>
      <c r="M598">
        <v>187000</v>
      </c>
      <c r="N598">
        <v>360</v>
      </c>
      <c r="O598">
        <v>1</v>
      </c>
      <c r="P598" t="s">
        <v>26</v>
      </c>
      <c r="Q598">
        <f t="shared" si="76"/>
        <v>0</v>
      </c>
      <c r="R598">
        <f t="shared" si="77"/>
        <v>0</v>
      </c>
      <c r="S598">
        <f t="shared" si="78"/>
        <v>1</v>
      </c>
      <c r="T598" t="s">
        <v>27</v>
      </c>
      <c r="U598">
        <f t="shared" si="79"/>
        <v>0</v>
      </c>
      <c r="V598">
        <v>8.7615501391296444</v>
      </c>
      <c r="W598">
        <v>6.9087547793152204</v>
      </c>
      <c r="X598">
        <v>12.138863895836725</v>
      </c>
      <c r="Y598" t="s">
        <v>23</v>
      </c>
    </row>
    <row r="599" spans="1:25" x14ac:dyDescent="0.3">
      <c r="A599" t="s">
        <v>628</v>
      </c>
      <c r="B599" t="s">
        <v>18</v>
      </c>
      <c r="C599">
        <f t="shared" si="72"/>
        <v>1</v>
      </c>
      <c r="D599" t="s">
        <v>19</v>
      </c>
      <c r="E599">
        <f t="shared" si="73"/>
        <v>0</v>
      </c>
      <c r="F599">
        <v>0</v>
      </c>
      <c r="G599" t="s">
        <v>20</v>
      </c>
      <c r="H599">
        <f t="shared" si="74"/>
        <v>1</v>
      </c>
      <c r="I599" t="s">
        <v>19</v>
      </c>
      <c r="J599">
        <f t="shared" si="75"/>
        <v>0</v>
      </c>
      <c r="K599">
        <v>2987</v>
      </c>
      <c r="L599">
        <v>0</v>
      </c>
      <c r="M599">
        <v>88000</v>
      </c>
      <c r="N599">
        <v>360</v>
      </c>
      <c r="O599">
        <v>0</v>
      </c>
      <c r="P599" t="s">
        <v>35</v>
      </c>
      <c r="Q599">
        <f t="shared" si="76"/>
        <v>0</v>
      </c>
      <c r="R599">
        <f t="shared" si="77"/>
        <v>1</v>
      </c>
      <c r="S599">
        <f t="shared" si="78"/>
        <v>0</v>
      </c>
      <c r="T599" t="s">
        <v>27</v>
      </c>
      <c r="U599">
        <f t="shared" si="79"/>
        <v>0</v>
      </c>
      <c r="V599">
        <v>8.0023595462527073</v>
      </c>
      <c r="W599">
        <v>0</v>
      </c>
      <c r="X599">
        <v>11.385092093460344</v>
      </c>
      <c r="Y599" t="s">
        <v>23</v>
      </c>
    </row>
    <row r="600" spans="1:25" x14ac:dyDescent="0.3">
      <c r="A600" t="s">
        <v>629</v>
      </c>
      <c r="B600" t="s">
        <v>18</v>
      </c>
      <c r="C600">
        <f t="shared" si="72"/>
        <v>1</v>
      </c>
      <c r="D600" t="s">
        <v>25</v>
      </c>
      <c r="E600">
        <f t="shared" si="73"/>
        <v>1</v>
      </c>
      <c r="F600">
        <v>0</v>
      </c>
      <c r="G600" t="s">
        <v>20</v>
      </c>
      <c r="H600">
        <f t="shared" si="74"/>
        <v>1</v>
      </c>
      <c r="I600" t="s">
        <v>25</v>
      </c>
      <c r="J600">
        <f t="shared" si="75"/>
        <v>1</v>
      </c>
      <c r="K600">
        <v>9963</v>
      </c>
      <c r="L600">
        <v>0</v>
      </c>
      <c r="M600">
        <v>180000</v>
      </c>
      <c r="N600">
        <v>360</v>
      </c>
      <c r="O600">
        <v>1</v>
      </c>
      <c r="P600" t="s">
        <v>26</v>
      </c>
      <c r="Q600">
        <f t="shared" si="76"/>
        <v>0</v>
      </c>
      <c r="R600">
        <f t="shared" si="77"/>
        <v>0</v>
      </c>
      <c r="S600">
        <f t="shared" si="78"/>
        <v>1</v>
      </c>
      <c r="T600" t="s">
        <v>22</v>
      </c>
      <c r="U600">
        <f t="shared" si="79"/>
        <v>1</v>
      </c>
      <c r="V600">
        <v>9.2067338763820707</v>
      </c>
      <c r="W600">
        <v>0</v>
      </c>
      <c r="X600">
        <v>12.100712129872347</v>
      </c>
      <c r="Y600" t="s">
        <v>23</v>
      </c>
    </row>
    <row r="601" spans="1:25" x14ac:dyDescent="0.3">
      <c r="A601" t="s">
        <v>630</v>
      </c>
      <c r="B601" t="s">
        <v>18</v>
      </c>
      <c r="C601">
        <f t="shared" si="72"/>
        <v>1</v>
      </c>
      <c r="D601" t="s">
        <v>25</v>
      </c>
      <c r="E601">
        <f t="shared" si="73"/>
        <v>1</v>
      </c>
      <c r="F601">
        <v>2</v>
      </c>
      <c r="G601" t="s">
        <v>20</v>
      </c>
      <c r="H601">
        <f t="shared" si="74"/>
        <v>1</v>
      </c>
      <c r="I601" t="s">
        <v>19</v>
      </c>
      <c r="J601">
        <f t="shared" si="75"/>
        <v>0</v>
      </c>
      <c r="K601">
        <v>5780</v>
      </c>
      <c r="L601">
        <v>0</v>
      </c>
      <c r="M601">
        <v>192000</v>
      </c>
      <c r="N601">
        <v>360</v>
      </c>
      <c r="O601">
        <v>1</v>
      </c>
      <c r="P601" t="s">
        <v>21</v>
      </c>
      <c r="Q601">
        <f t="shared" si="76"/>
        <v>1</v>
      </c>
      <c r="R601">
        <f t="shared" si="77"/>
        <v>0</v>
      </c>
      <c r="S601">
        <f t="shared" si="78"/>
        <v>0</v>
      </c>
      <c r="T601" t="s">
        <v>22</v>
      </c>
      <c r="U601">
        <f t="shared" si="79"/>
        <v>1</v>
      </c>
      <c r="V601">
        <v>8.6623319570824755</v>
      </c>
      <c r="W601">
        <v>0</v>
      </c>
      <c r="X601">
        <v>12.165250651009918</v>
      </c>
      <c r="Y601" t="s">
        <v>23</v>
      </c>
    </row>
    <row r="602" spans="1:25" x14ac:dyDescent="0.3">
      <c r="A602" t="s">
        <v>631</v>
      </c>
      <c r="B602" t="s">
        <v>48</v>
      </c>
      <c r="C602">
        <f t="shared" si="72"/>
        <v>0</v>
      </c>
      <c r="D602" t="s">
        <v>19</v>
      </c>
      <c r="E602">
        <f t="shared" si="73"/>
        <v>0</v>
      </c>
      <c r="F602">
        <v>3</v>
      </c>
      <c r="G602" t="s">
        <v>20</v>
      </c>
      <c r="H602">
        <f t="shared" si="74"/>
        <v>1</v>
      </c>
      <c r="I602" t="s">
        <v>19</v>
      </c>
      <c r="J602">
        <f t="shared" si="75"/>
        <v>0</v>
      </c>
      <c r="K602">
        <v>416</v>
      </c>
      <c r="L602">
        <v>41667</v>
      </c>
      <c r="M602">
        <v>350000</v>
      </c>
      <c r="N602">
        <v>180</v>
      </c>
      <c r="O602">
        <v>1</v>
      </c>
      <c r="P602" t="s">
        <v>21</v>
      </c>
      <c r="Q602">
        <f t="shared" si="76"/>
        <v>1</v>
      </c>
      <c r="R602">
        <f t="shared" si="77"/>
        <v>0</v>
      </c>
      <c r="S602">
        <f t="shared" si="78"/>
        <v>0</v>
      </c>
      <c r="T602" t="s">
        <v>27</v>
      </c>
      <c r="U602">
        <f t="shared" si="79"/>
        <v>0</v>
      </c>
      <c r="V602">
        <v>6.0330862217988006</v>
      </c>
      <c r="W602">
        <v>10.637488727104341</v>
      </c>
      <c r="X602">
        <v>12.765688433465597</v>
      </c>
      <c r="Y602" t="s">
        <v>46</v>
      </c>
    </row>
    <row r="603" spans="1:25" x14ac:dyDescent="0.3">
      <c r="A603" t="s">
        <v>632</v>
      </c>
      <c r="B603" t="s">
        <v>18</v>
      </c>
      <c r="C603">
        <f t="shared" si="72"/>
        <v>1</v>
      </c>
      <c r="D603" t="s">
        <v>25</v>
      </c>
      <c r="E603">
        <f t="shared" si="73"/>
        <v>1</v>
      </c>
      <c r="F603">
        <v>0</v>
      </c>
      <c r="G603" t="s">
        <v>30</v>
      </c>
      <c r="H603">
        <f t="shared" si="74"/>
        <v>0</v>
      </c>
      <c r="I603" t="s">
        <v>19</v>
      </c>
      <c r="J603">
        <f t="shared" si="75"/>
        <v>0</v>
      </c>
      <c r="K603">
        <v>2894</v>
      </c>
      <c r="L603">
        <v>2792</v>
      </c>
      <c r="M603">
        <v>155000</v>
      </c>
      <c r="N603">
        <v>360</v>
      </c>
      <c r="O603">
        <v>1</v>
      </c>
      <c r="P603" t="s">
        <v>26</v>
      </c>
      <c r="Q603">
        <f t="shared" si="76"/>
        <v>0</v>
      </c>
      <c r="R603">
        <f t="shared" si="77"/>
        <v>0</v>
      </c>
      <c r="S603">
        <f t="shared" si="78"/>
        <v>1</v>
      </c>
      <c r="T603" t="s">
        <v>22</v>
      </c>
      <c r="U603">
        <f t="shared" si="79"/>
        <v>1</v>
      </c>
      <c r="V603">
        <v>7.9707403900070952</v>
      </c>
      <c r="W603">
        <v>7.9348715659451763</v>
      </c>
      <c r="X603">
        <v>11.951180395901384</v>
      </c>
      <c r="Y603" t="s">
        <v>23</v>
      </c>
    </row>
    <row r="604" spans="1:25" x14ac:dyDescent="0.3">
      <c r="A604" t="s">
        <v>633</v>
      </c>
      <c r="B604" t="s">
        <v>18</v>
      </c>
      <c r="C604">
        <f t="shared" si="72"/>
        <v>1</v>
      </c>
      <c r="D604" t="s">
        <v>25</v>
      </c>
      <c r="E604">
        <f t="shared" si="73"/>
        <v>1</v>
      </c>
      <c r="F604">
        <v>3</v>
      </c>
      <c r="G604" t="s">
        <v>20</v>
      </c>
      <c r="H604">
        <f t="shared" si="74"/>
        <v>1</v>
      </c>
      <c r="I604" t="s">
        <v>19</v>
      </c>
      <c r="J604">
        <f t="shared" si="75"/>
        <v>0</v>
      </c>
      <c r="K604">
        <v>5703</v>
      </c>
      <c r="L604">
        <v>0</v>
      </c>
      <c r="M604">
        <v>128000</v>
      </c>
      <c r="N604">
        <v>360</v>
      </c>
      <c r="O604">
        <v>1</v>
      </c>
      <c r="P604" t="s">
        <v>21</v>
      </c>
      <c r="Q604">
        <f t="shared" si="76"/>
        <v>1</v>
      </c>
      <c r="R604">
        <f t="shared" si="77"/>
        <v>0</v>
      </c>
      <c r="S604">
        <f t="shared" si="78"/>
        <v>0</v>
      </c>
      <c r="T604" t="s">
        <v>22</v>
      </c>
      <c r="U604">
        <f t="shared" si="79"/>
        <v>1</v>
      </c>
      <c r="V604">
        <v>8.6489229620941313</v>
      </c>
      <c r="W604">
        <v>0</v>
      </c>
      <c r="X604">
        <v>11.759785542901755</v>
      </c>
      <c r="Y604" t="s">
        <v>23</v>
      </c>
    </row>
    <row r="605" spans="1:25" x14ac:dyDescent="0.3">
      <c r="A605" t="s">
        <v>634</v>
      </c>
      <c r="B605" t="s">
        <v>18</v>
      </c>
      <c r="C605">
        <f t="shared" si="72"/>
        <v>1</v>
      </c>
      <c r="D605" t="s">
        <v>19</v>
      </c>
      <c r="E605">
        <f t="shared" si="73"/>
        <v>0</v>
      </c>
      <c r="F605">
        <v>0</v>
      </c>
      <c r="G605" t="s">
        <v>20</v>
      </c>
      <c r="H605">
        <f t="shared" si="74"/>
        <v>1</v>
      </c>
      <c r="I605" t="s">
        <v>19</v>
      </c>
      <c r="J605">
        <f t="shared" si="75"/>
        <v>0</v>
      </c>
      <c r="K605">
        <v>3676</v>
      </c>
      <c r="L605">
        <v>4301</v>
      </c>
      <c r="M605">
        <v>172000</v>
      </c>
      <c r="N605">
        <v>360</v>
      </c>
      <c r="O605">
        <v>1</v>
      </c>
      <c r="P605" t="s">
        <v>26</v>
      </c>
      <c r="Q605">
        <f t="shared" si="76"/>
        <v>0</v>
      </c>
      <c r="R605">
        <f t="shared" si="77"/>
        <v>0</v>
      </c>
      <c r="S605">
        <f t="shared" si="78"/>
        <v>1</v>
      </c>
      <c r="T605" t="s">
        <v>22</v>
      </c>
      <c r="U605">
        <f t="shared" si="79"/>
        <v>1</v>
      </c>
      <c r="V605">
        <v>8.2098524813012723</v>
      </c>
      <c r="W605">
        <v>8.3668353098276746</v>
      </c>
      <c r="X605">
        <v>12.05524975579559</v>
      </c>
      <c r="Y605" t="s">
        <v>23</v>
      </c>
    </row>
    <row r="606" spans="1:25" x14ac:dyDescent="0.3">
      <c r="A606" t="s">
        <v>635</v>
      </c>
      <c r="B606" t="s">
        <v>48</v>
      </c>
      <c r="C606">
        <f t="shared" si="72"/>
        <v>0</v>
      </c>
      <c r="D606" t="s">
        <v>25</v>
      </c>
      <c r="E606">
        <f t="shared" si="73"/>
        <v>1</v>
      </c>
      <c r="F606">
        <v>1</v>
      </c>
      <c r="G606" t="s">
        <v>20</v>
      </c>
      <c r="H606">
        <f t="shared" si="74"/>
        <v>1</v>
      </c>
      <c r="I606" t="s">
        <v>19</v>
      </c>
      <c r="J606">
        <f t="shared" si="75"/>
        <v>0</v>
      </c>
      <c r="K606">
        <v>12000</v>
      </c>
      <c r="L606">
        <v>0</v>
      </c>
      <c r="M606">
        <v>496000</v>
      </c>
      <c r="N606">
        <v>360</v>
      </c>
      <c r="O606">
        <v>1</v>
      </c>
      <c r="P606" t="s">
        <v>35</v>
      </c>
      <c r="Q606">
        <f t="shared" si="76"/>
        <v>0</v>
      </c>
      <c r="R606">
        <f t="shared" si="77"/>
        <v>1</v>
      </c>
      <c r="S606">
        <f t="shared" si="78"/>
        <v>0</v>
      </c>
      <c r="T606" t="s">
        <v>22</v>
      </c>
      <c r="U606">
        <f t="shared" si="79"/>
        <v>1</v>
      </c>
      <c r="V606">
        <v>9.3927452586314413</v>
      </c>
      <c r="W606">
        <v>0</v>
      </c>
      <c r="X606">
        <v>13.114331205707064</v>
      </c>
      <c r="Y606" t="s">
        <v>23</v>
      </c>
    </row>
    <row r="607" spans="1:25" x14ac:dyDescent="0.3">
      <c r="A607" t="s">
        <v>636</v>
      </c>
      <c r="B607" t="s">
        <v>18</v>
      </c>
      <c r="C607">
        <f t="shared" si="72"/>
        <v>1</v>
      </c>
      <c r="D607" t="s">
        <v>25</v>
      </c>
      <c r="E607">
        <f t="shared" si="73"/>
        <v>1</v>
      </c>
      <c r="F607">
        <v>0</v>
      </c>
      <c r="G607" t="s">
        <v>30</v>
      </c>
      <c r="H607">
        <f t="shared" si="74"/>
        <v>0</v>
      </c>
      <c r="I607" t="s">
        <v>19</v>
      </c>
      <c r="J607">
        <f t="shared" si="75"/>
        <v>0</v>
      </c>
      <c r="K607">
        <v>2400</v>
      </c>
      <c r="L607">
        <v>3800</v>
      </c>
      <c r="M607">
        <v>128000</v>
      </c>
      <c r="N607">
        <v>180</v>
      </c>
      <c r="O607">
        <v>1</v>
      </c>
      <c r="P607" t="s">
        <v>21</v>
      </c>
      <c r="Q607">
        <f t="shared" si="76"/>
        <v>1</v>
      </c>
      <c r="R607">
        <f t="shared" si="77"/>
        <v>0</v>
      </c>
      <c r="S607">
        <f t="shared" si="78"/>
        <v>0</v>
      </c>
      <c r="T607" t="s">
        <v>27</v>
      </c>
      <c r="U607">
        <f t="shared" si="79"/>
        <v>0</v>
      </c>
      <c r="V607">
        <v>7.7836405962212529</v>
      </c>
      <c r="W607">
        <v>8.2430194689892495</v>
      </c>
      <c r="X607">
        <v>11.759785542901755</v>
      </c>
      <c r="Y607" t="s">
        <v>46</v>
      </c>
    </row>
    <row r="608" spans="1:25" x14ac:dyDescent="0.3">
      <c r="A608" t="s">
        <v>637</v>
      </c>
      <c r="B608" t="s">
        <v>18</v>
      </c>
      <c r="C608">
        <f t="shared" si="72"/>
        <v>1</v>
      </c>
      <c r="D608" t="s">
        <v>25</v>
      </c>
      <c r="E608">
        <f t="shared" si="73"/>
        <v>1</v>
      </c>
      <c r="F608">
        <v>1</v>
      </c>
      <c r="G608" t="s">
        <v>20</v>
      </c>
      <c r="H608">
        <f t="shared" si="74"/>
        <v>1</v>
      </c>
      <c r="I608" t="s">
        <v>19</v>
      </c>
      <c r="J608">
        <f t="shared" si="75"/>
        <v>0</v>
      </c>
      <c r="K608">
        <v>3400</v>
      </c>
      <c r="L608">
        <v>2500</v>
      </c>
      <c r="M608">
        <v>173000</v>
      </c>
      <c r="N608">
        <v>360</v>
      </c>
      <c r="O608">
        <v>1</v>
      </c>
      <c r="P608" t="s">
        <v>35</v>
      </c>
      <c r="Q608">
        <f t="shared" si="76"/>
        <v>0</v>
      </c>
      <c r="R608">
        <f t="shared" si="77"/>
        <v>1</v>
      </c>
      <c r="S608">
        <f t="shared" si="78"/>
        <v>0</v>
      </c>
      <c r="T608" t="s">
        <v>22</v>
      </c>
      <c r="U608">
        <f t="shared" si="79"/>
        <v>1</v>
      </c>
      <c r="V608">
        <v>8.1318247850071952</v>
      </c>
      <c r="W608">
        <v>7.8244459308776193</v>
      </c>
      <c r="X608">
        <v>12.061046873479915</v>
      </c>
      <c r="Y608" t="s">
        <v>23</v>
      </c>
    </row>
    <row r="609" spans="1:25" x14ac:dyDescent="0.3">
      <c r="A609" t="s">
        <v>638</v>
      </c>
      <c r="B609" t="s">
        <v>18</v>
      </c>
      <c r="C609">
        <f t="shared" si="72"/>
        <v>1</v>
      </c>
      <c r="D609" t="s">
        <v>25</v>
      </c>
      <c r="E609">
        <f t="shared" si="73"/>
        <v>1</v>
      </c>
      <c r="F609">
        <v>2</v>
      </c>
      <c r="G609" t="s">
        <v>30</v>
      </c>
      <c r="H609">
        <f t="shared" si="74"/>
        <v>0</v>
      </c>
      <c r="I609" t="s">
        <v>19</v>
      </c>
      <c r="J609">
        <f t="shared" si="75"/>
        <v>0</v>
      </c>
      <c r="K609">
        <v>3987</v>
      </c>
      <c r="L609">
        <v>1411</v>
      </c>
      <c r="M609">
        <v>157000</v>
      </c>
      <c r="N609">
        <v>360</v>
      </c>
      <c r="O609">
        <v>1</v>
      </c>
      <c r="P609" t="s">
        <v>26</v>
      </c>
      <c r="Q609">
        <f t="shared" si="76"/>
        <v>0</v>
      </c>
      <c r="R609">
        <f t="shared" si="77"/>
        <v>0</v>
      </c>
      <c r="S609">
        <f t="shared" si="78"/>
        <v>1</v>
      </c>
      <c r="T609" t="s">
        <v>22</v>
      </c>
      <c r="U609">
        <f t="shared" si="79"/>
        <v>1</v>
      </c>
      <c r="V609">
        <v>8.291045131081729</v>
      </c>
      <c r="W609">
        <v>7.2527624180531873</v>
      </c>
      <c r="X609">
        <v>11.964001084330445</v>
      </c>
      <c r="Y609" t="s">
        <v>23</v>
      </c>
    </row>
    <row r="610" spans="1:25" x14ac:dyDescent="0.3">
      <c r="A610" t="s">
        <v>639</v>
      </c>
      <c r="B610" t="s">
        <v>18</v>
      </c>
      <c r="C610">
        <f t="shared" si="72"/>
        <v>1</v>
      </c>
      <c r="D610" t="s">
        <v>25</v>
      </c>
      <c r="E610">
        <f t="shared" si="73"/>
        <v>1</v>
      </c>
      <c r="F610">
        <v>0</v>
      </c>
      <c r="G610" t="s">
        <v>20</v>
      </c>
      <c r="H610">
        <f t="shared" si="74"/>
        <v>1</v>
      </c>
      <c r="I610" t="s">
        <v>19</v>
      </c>
      <c r="J610">
        <f t="shared" si="75"/>
        <v>0</v>
      </c>
      <c r="K610">
        <v>3232</v>
      </c>
      <c r="L610">
        <v>1950</v>
      </c>
      <c r="M610">
        <v>108000</v>
      </c>
      <c r="N610">
        <v>360</v>
      </c>
      <c r="O610">
        <v>1</v>
      </c>
      <c r="P610" t="s">
        <v>26</v>
      </c>
      <c r="Q610">
        <f t="shared" si="76"/>
        <v>0</v>
      </c>
      <c r="R610">
        <f t="shared" si="77"/>
        <v>0</v>
      </c>
      <c r="S610">
        <f t="shared" si="78"/>
        <v>1</v>
      </c>
      <c r="T610" t="s">
        <v>22</v>
      </c>
      <c r="U610">
        <f t="shared" si="79"/>
        <v>1</v>
      </c>
      <c r="V610">
        <v>8.0811657777254329</v>
      </c>
      <c r="W610">
        <v>7.5760973406231109</v>
      </c>
      <c r="X610">
        <v>11.589886506106357</v>
      </c>
      <c r="Y610" t="s">
        <v>23</v>
      </c>
    </row>
    <row r="611" spans="1:25" x14ac:dyDescent="0.3">
      <c r="A611" t="s">
        <v>640</v>
      </c>
      <c r="B611" t="s">
        <v>48</v>
      </c>
      <c r="C611">
        <f t="shared" si="72"/>
        <v>0</v>
      </c>
      <c r="D611" t="s">
        <v>19</v>
      </c>
      <c r="E611">
        <f t="shared" si="73"/>
        <v>0</v>
      </c>
      <c r="F611">
        <v>0</v>
      </c>
      <c r="G611" t="s">
        <v>20</v>
      </c>
      <c r="H611">
        <f t="shared" si="74"/>
        <v>1</v>
      </c>
      <c r="I611" t="s">
        <v>19</v>
      </c>
      <c r="J611">
        <f t="shared" si="75"/>
        <v>0</v>
      </c>
      <c r="K611">
        <v>2900</v>
      </c>
      <c r="L611">
        <v>0</v>
      </c>
      <c r="M611">
        <v>71000</v>
      </c>
      <c r="N611">
        <v>360</v>
      </c>
      <c r="O611">
        <v>1</v>
      </c>
      <c r="P611" t="s">
        <v>26</v>
      </c>
      <c r="Q611">
        <f t="shared" si="76"/>
        <v>0</v>
      </c>
      <c r="R611">
        <f t="shared" si="77"/>
        <v>0</v>
      </c>
      <c r="S611">
        <f t="shared" si="78"/>
        <v>1</v>
      </c>
      <c r="T611" t="s">
        <v>22</v>
      </c>
      <c r="U611">
        <f t="shared" si="79"/>
        <v>1</v>
      </c>
      <c r="V611">
        <v>7.9728107841214042</v>
      </c>
      <c r="W611">
        <v>0</v>
      </c>
      <c r="X611">
        <v>11.170435156023453</v>
      </c>
      <c r="Y611" t="s">
        <v>23</v>
      </c>
    </row>
    <row r="612" spans="1:25" x14ac:dyDescent="0.3">
      <c r="A612" t="s">
        <v>641</v>
      </c>
      <c r="B612" t="s">
        <v>18</v>
      </c>
      <c r="C612">
        <f t="shared" si="72"/>
        <v>1</v>
      </c>
      <c r="D612" t="s">
        <v>25</v>
      </c>
      <c r="E612">
        <f t="shared" si="73"/>
        <v>1</v>
      </c>
      <c r="F612">
        <v>3</v>
      </c>
      <c r="G612" t="s">
        <v>20</v>
      </c>
      <c r="H612">
        <f t="shared" si="74"/>
        <v>1</v>
      </c>
      <c r="I612" t="s">
        <v>19</v>
      </c>
      <c r="J612">
        <f t="shared" si="75"/>
        <v>0</v>
      </c>
      <c r="K612">
        <v>4106</v>
      </c>
      <c r="L612">
        <v>0</v>
      </c>
      <c r="M612">
        <v>40000</v>
      </c>
      <c r="N612">
        <v>180</v>
      </c>
      <c r="O612">
        <v>1</v>
      </c>
      <c r="P612" t="s">
        <v>26</v>
      </c>
      <c r="Q612">
        <f t="shared" si="76"/>
        <v>0</v>
      </c>
      <c r="R612">
        <f t="shared" si="77"/>
        <v>0</v>
      </c>
      <c r="S612">
        <f t="shared" si="78"/>
        <v>1</v>
      </c>
      <c r="T612" t="s">
        <v>22</v>
      </c>
      <c r="U612">
        <f t="shared" si="79"/>
        <v>1</v>
      </c>
      <c r="V612">
        <v>8.3204481139565587</v>
      </c>
      <c r="W612">
        <v>0</v>
      </c>
      <c r="X612">
        <v>10.596634733096073</v>
      </c>
      <c r="Y612" t="s">
        <v>46</v>
      </c>
    </row>
    <row r="613" spans="1:25" x14ac:dyDescent="0.3">
      <c r="A613" t="s">
        <v>642</v>
      </c>
      <c r="B613" t="s">
        <v>18</v>
      </c>
      <c r="C613">
        <f t="shared" si="72"/>
        <v>1</v>
      </c>
      <c r="D613" t="s">
        <v>25</v>
      </c>
      <c r="E613">
        <f t="shared" si="73"/>
        <v>1</v>
      </c>
      <c r="F613">
        <v>1</v>
      </c>
      <c r="G613" t="s">
        <v>20</v>
      </c>
      <c r="H613">
        <f t="shared" si="74"/>
        <v>1</v>
      </c>
      <c r="I613" t="s">
        <v>19</v>
      </c>
      <c r="J613">
        <f t="shared" si="75"/>
        <v>0</v>
      </c>
      <c r="K613">
        <v>8072</v>
      </c>
      <c r="L613">
        <v>240</v>
      </c>
      <c r="M613">
        <v>253000</v>
      </c>
      <c r="N613">
        <v>360</v>
      </c>
      <c r="O613">
        <v>1</v>
      </c>
      <c r="P613" t="s">
        <v>21</v>
      </c>
      <c r="Q613">
        <f t="shared" si="76"/>
        <v>1</v>
      </c>
      <c r="R613">
        <f t="shared" si="77"/>
        <v>0</v>
      </c>
      <c r="S613">
        <f t="shared" si="78"/>
        <v>0</v>
      </c>
      <c r="T613" t="s">
        <v>22</v>
      </c>
      <c r="U613">
        <f t="shared" si="79"/>
        <v>1</v>
      </c>
      <c r="V613">
        <v>8.9962804393950151</v>
      </c>
      <c r="W613">
        <v>5.4847969334906548</v>
      </c>
      <c r="X613">
        <v>12.441144767709657</v>
      </c>
      <c r="Y613" t="s">
        <v>23</v>
      </c>
    </row>
    <row r="614" spans="1:25" x14ac:dyDescent="0.3">
      <c r="A614" t="s">
        <v>643</v>
      </c>
      <c r="B614" t="s">
        <v>18</v>
      </c>
      <c r="C614">
        <f t="shared" si="72"/>
        <v>1</v>
      </c>
      <c r="D614" t="s">
        <v>25</v>
      </c>
      <c r="E614">
        <f t="shared" si="73"/>
        <v>1</v>
      </c>
      <c r="F614">
        <v>2</v>
      </c>
      <c r="G614" t="s">
        <v>20</v>
      </c>
      <c r="H614">
        <f t="shared" si="74"/>
        <v>1</v>
      </c>
      <c r="I614" t="s">
        <v>19</v>
      </c>
      <c r="J614">
        <f t="shared" si="75"/>
        <v>0</v>
      </c>
      <c r="K614">
        <v>7583</v>
      </c>
      <c r="L614">
        <v>0</v>
      </c>
      <c r="M614">
        <v>187000</v>
      </c>
      <c r="N614">
        <v>360</v>
      </c>
      <c r="O614">
        <v>1</v>
      </c>
      <c r="P614" t="s">
        <v>21</v>
      </c>
      <c r="Q614">
        <f t="shared" si="76"/>
        <v>1</v>
      </c>
      <c r="R614">
        <f t="shared" si="77"/>
        <v>0</v>
      </c>
      <c r="S614">
        <f t="shared" si="78"/>
        <v>0</v>
      </c>
      <c r="T614" t="s">
        <v>22</v>
      </c>
      <c r="U614">
        <f t="shared" si="79"/>
        <v>1</v>
      </c>
      <c r="V614">
        <v>8.9337960439348585</v>
      </c>
      <c r="W614">
        <v>0</v>
      </c>
      <c r="X614">
        <v>12.138863895836725</v>
      </c>
      <c r="Y614" t="s">
        <v>23</v>
      </c>
    </row>
    <row r="615" spans="1:25" x14ac:dyDescent="0.3">
      <c r="A615" t="s">
        <v>644</v>
      </c>
      <c r="B615" t="s">
        <v>48</v>
      </c>
      <c r="C615">
        <f t="shared" si="72"/>
        <v>0</v>
      </c>
      <c r="D615" t="s">
        <v>19</v>
      </c>
      <c r="E615">
        <f t="shared" si="73"/>
        <v>0</v>
      </c>
      <c r="F615">
        <v>0</v>
      </c>
      <c r="G615" t="s">
        <v>20</v>
      </c>
      <c r="H615">
        <f t="shared" si="74"/>
        <v>1</v>
      </c>
      <c r="I615" t="s">
        <v>25</v>
      </c>
      <c r="J615">
        <f t="shared" si="75"/>
        <v>1</v>
      </c>
      <c r="K615">
        <v>4583</v>
      </c>
      <c r="L615">
        <v>0</v>
      </c>
      <c r="M615">
        <v>133000</v>
      </c>
      <c r="N615">
        <v>360</v>
      </c>
      <c r="O615">
        <v>0</v>
      </c>
      <c r="P615" t="s">
        <v>35</v>
      </c>
      <c r="Q615">
        <f t="shared" si="76"/>
        <v>0</v>
      </c>
      <c r="R615">
        <f t="shared" si="77"/>
        <v>1</v>
      </c>
      <c r="S615">
        <f t="shared" si="78"/>
        <v>0</v>
      </c>
      <c r="T615" t="s">
        <v>27</v>
      </c>
      <c r="U615">
        <f t="shared" si="79"/>
        <v>0</v>
      </c>
      <c r="V615">
        <v>8.4303272583945752</v>
      </c>
      <c r="W615">
        <v>0</v>
      </c>
      <c r="X615">
        <v>11.798104407203891</v>
      </c>
      <c r="Y615" t="s">
        <v>23</v>
      </c>
    </row>
  </sheetData>
  <autoFilter ref="A1:Y61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ROMERO GUTIERREZ</cp:lastModifiedBy>
  <dcterms:created xsi:type="dcterms:W3CDTF">2025-07-16T18:51:35Z</dcterms:created>
  <dcterms:modified xsi:type="dcterms:W3CDTF">2025-08-27T20:46:49Z</dcterms:modified>
</cp:coreProperties>
</file>